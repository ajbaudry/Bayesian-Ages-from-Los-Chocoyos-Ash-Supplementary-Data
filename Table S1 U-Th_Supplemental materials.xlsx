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 Baudry\Documents\Research\Undergraduate_WiscAr\Senior Thesis(Atitlan)\Publication Submitions\EPSL Submition\Supplementary\"/>
    </mc:Choice>
  </mc:AlternateContent>
  <xr:revisionPtr revIDLastSave="0" documentId="8_{9D038E56-332B-40D8-A662-2F2D26CF7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ircon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W5" i="1" s="1"/>
  <c r="W6" i="1" s="1"/>
  <c r="W7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4" i="1" s="1"/>
  <c r="W38" i="1" s="1"/>
  <c r="W41" i="1" s="1"/>
  <c r="W42" i="1" s="1"/>
  <c r="W43" i="1" s="1"/>
  <c r="W44" i="1" s="1"/>
  <c r="W45" i="1" s="1"/>
  <c r="W46" i="1" s="1"/>
  <c r="W50" i="1" s="1"/>
  <c r="W56" i="1" s="1"/>
  <c r="W57" i="1" s="1"/>
  <c r="W58" i="1" s="1"/>
  <c r="W59" i="1" s="1"/>
  <c r="W60" i="1" s="1"/>
  <c r="W61" i="1" s="1"/>
  <c r="W67" i="1" s="1"/>
  <c r="W68" i="1" s="1"/>
</calcChain>
</file>

<file path=xl/sharedStrings.xml><?xml version="1.0" encoding="utf-8"?>
<sst xmlns="http://schemas.openxmlformats.org/spreadsheetml/2006/main" count="206" uniqueCount="162">
  <si>
    <t>Sample name and analysis number</t>
  </si>
  <si>
    <t>Analysis time</t>
  </si>
  <si>
    <t>Struck though analysis are not included in the weighted mean isochron age. See manuscript text for justification.</t>
  </si>
  <si>
    <t>Supplementary Table 1. SHRIMP-RG U-Th composition of zircon crystal surfaces.</t>
  </si>
  <si>
    <t>SJO-09-03C_11.1</t>
  </si>
  <si>
    <t>SJO-09-03C_12.1</t>
  </si>
  <si>
    <t>SJO-09-03C_12.2</t>
  </si>
  <si>
    <t>SJO-09-03C_13.1</t>
  </si>
  <si>
    <t>SJO-09-03C_14.1</t>
  </si>
  <si>
    <t>SJO-09-03C_15.1</t>
  </si>
  <si>
    <t>SJO-09-03C_16.1</t>
  </si>
  <si>
    <t>SJO-09-03C_17.1</t>
  </si>
  <si>
    <t>SJO-09-03C_18.1</t>
  </si>
  <si>
    <t>SJO-09-03C_19.1</t>
  </si>
  <si>
    <t>SJO-09-03C_20.1</t>
  </si>
  <si>
    <t>SJO-09-03C_21.1</t>
  </si>
  <si>
    <t xml:space="preserve"> 2022-08-16, 19:22</t>
  </si>
  <si>
    <t xml:space="preserve"> 2022-08-17, 14:25</t>
  </si>
  <si>
    <t xml:space="preserve"> 2022-08-17, 14:59</t>
  </si>
  <si>
    <t xml:space="preserve"> 2022-08-17, 15:34</t>
  </si>
  <si>
    <t xml:space="preserve"> 2022-08-17, 16:08</t>
  </si>
  <si>
    <t xml:space="preserve"> 2022-08-17, 17:16</t>
  </si>
  <si>
    <t xml:space="preserve"> 2022-08-17, 17:50</t>
  </si>
  <si>
    <t xml:space="preserve"> 2022-08-16, 19:56</t>
  </si>
  <si>
    <t xml:space="preserve"> 2022-08-16, 23:40</t>
  </si>
  <si>
    <t xml:space="preserve"> 2022-08-17, 00:14</t>
  </si>
  <si>
    <t xml:space="preserve"> 2022-08-17, 00:48</t>
  </si>
  <si>
    <t xml:space="preserve"> 2022-08-17, 02:30</t>
  </si>
  <si>
    <t xml:space="preserve"> 2022-08-17, 03:04</t>
  </si>
  <si>
    <t xml:space="preserve"> 2022-08-17, 03:38</t>
  </si>
  <si>
    <t xml:space="preserve"> 2022-08-17, 04:12</t>
  </si>
  <si>
    <t xml:space="preserve"> 2022-08-17, 04:46</t>
  </si>
  <si>
    <t xml:space="preserve"> 2022-08-17, 06:28</t>
  </si>
  <si>
    <t xml:space="preserve"> 2022-08-17, 07:02</t>
  </si>
  <si>
    <t xml:space="preserve"> 2022-08-17, 13:51</t>
  </si>
  <si>
    <t xml:space="preserve"> 2022-08-17, 07:36</t>
  </si>
  <si>
    <t xml:space="preserve"> 2022-08-17, 08:10</t>
  </si>
  <si>
    <t xml:space="preserve"> 2022-08-17, 08:44</t>
  </si>
  <si>
    <t xml:space="preserve"> 2022-08-17, 09:52</t>
  </si>
  <si>
    <t xml:space="preserve"> 2022-08-17, 10:27</t>
  </si>
  <si>
    <t xml:space="preserve"> 2022-08-17, 11:01</t>
  </si>
  <si>
    <t xml:space="preserve"> 2022-08-17, 11:35</t>
  </si>
  <si>
    <t xml:space="preserve"> 2022-08-17, 12:09</t>
  </si>
  <si>
    <t xml:space="preserve"> 2022-08-20, 10:43</t>
  </si>
  <si>
    <t xml:space="preserve"> 2022-08-20, 11:17</t>
  </si>
  <si>
    <t xml:space="preserve"> 2022-08-20, 11:51</t>
  </si>
  <si>
    <t xml:space="preserve"> 2022-08-20, 12:25</t>
  </si>
  <si>
    <t xml:space="preserve"> 2022-08-20, 12:59</t>
  </si>
  <si>
    <t xml:space="preserve"> 2022-08-20, 14:07</t>
  </si>
  <si>
    <t xml:space="preserve"> 2022-08-20, 14:41</t>
  </si>
  <si>
    <t xml:space="preserve"> 2022-08-20, 15:15</t>
  </si>
  <si>
    <t xml:space="preserve"> 2022-08-20, 15:48</t>
  </si>
  <si>
    <t xml:space="preserve"> 2022-08-20, 16:57</t>
  </si>
  <si>
    <t xml:space="preserve"> 2022-08-20, 17:31</t>
  </si>
  <si>
    <t xml:space="preserve"> 2022-08-20, 18:05</t>
  </si>
  <si>
    <t xml:space="preserve"> 2022-08-20, 18:39</t>
  </si>
  <si>
    <t xml:space="preserve"> 2022-08-20, 19:12</t>
  </si>
  <si>
    <t xml:space="preserve"> 2022-08-20, 20:21</t>
  </si>
  <si>
    <t xml:space="preserve"> 2022-08-20, 20:54</t>
  </si>
  <si>
    <t xml:space="preserve"> 2022-08-20, 21:28</t>
  </si>
  <si>
    <t xml:space="preserve"> 2022-08-20, 22:02</t>
  </si>
  <si>
    <t xml:space="preserve"> 2022-08-20, 23:10</t>
  </si>
  <si>
    <t xml:space="preserve"> 2022-08-20, 23:44</t>
  </si>
  <si>
    <t xml:space="preserve"> 2022-08-21, 00:18</t>
  </si>
  <si>
    <t xml:space="preserve"> 2022-08-21, 00:52</t>
  </si>
  <si>
    <t xml:space="preserve"> 2022-08-21, 01:26</t>
  </si>
  <si>
    <t xml:space="preserve"> 2022-08-21, 02:35</t>
  </si>
  <si>
    <t xml:space="preserve"> 2022-08-21, 03:09</t>
  </si>
  <si>
    <t xml:space="preserve"> 2022-08-21, 03:43</t>
  </si>
  <si>
    <t xml:space="preserve"> 2022-08-21, 04:17</t>
  </si>
  <si>
    <t xml:space="preserve"> 2022-08-21, 05:25</t>
  </si>
  <si>
    <t xml:space="preserve"> 2022-08-21, 05:59</t>
  </si>
  <si>
    <t xml:space="preserve"> 2022-08-21, 06:33</t>
  </si>
  <si>
    <t xml:space="preserve"> 2022-08-21, 07:07</t>
  </si>
  <si>
    <t xml:space="preserve"> 2022-08-21, 08:15</t>
  </si>
  <si>
    <t xml:space="preserve"> 2022-08-21, 08:49</t>
  </si>
  <si>
    <t xml:space="preserve"> 2022-08-21, 09:23</t>
  </si>
  <si>
    <t xml:space="preserve"> 2022-08-21, 09:57</t>
  </si>
  <si>
    <t xml:space="preserve"> 2022-08-21, 11:39</t>
  </si>
  <si>
    <t xml:space="preserve"> 2022-08-21, 11:05</t>
  </si>
  <si>
    <t xml:space="preserve"> 2022-08-21, 12:13</t>
  </si>
  <si>
    <t xml:space="preserve"> 2022-08-21, 12:47</t>
  </si>
  <si>
    <t xml:space="preserve"> 2022-08-21, 13:22</t>
  </si>
  <si>
    <t xml:space="preserve"> 2022-08-21, 14:30</t>
  </si>
  <si>
    <t xml:space="preserve"> 2022-08-21, 15:04</t>
  </si>
  <si>
    <t xml:space="preserve"> 2022-08-21, 15:38</t>
  </si>
  <si>
    <t xml:space="preserve"> 2022-08-21, 16:12</t>
  </si>
  <si>
    <t>SJO-09-02_1.1</t>
  </si>
  <si>
    <t>SJO-09-02_10.1</t>
  </si>
  <si>
    <t>SJO-09-02_11.1</t>
  </si>
  <si>
    <t>SJO-09-02_12.1</t>
  </si>
  <si>
    <t>SJO-09-02_13.1</t>
  </si>
  <si>
    <t>SJO-09-02_14.1</t>
  </si>
  <si>
    <t>SJO-09-02_15.1</t>
  </si>
  <si>
    <t>SJO-09-02_2.1</t>
  </si>
  <si>
    <t>SJO-09-02_2.2</t>
  </si>
  <si>
    <t>SJO-09-02_2.3</t>
  </si>
  <si>
    <t>SJO-09-02_3.1</t>
  </si>
  <si>
    <t>SJO-09-02_4.1</t>
  </si>
  <si>
    <t>SJO-09-02_5.1</t>
  </si>
  <si>
    <t>SJO-09-02_6.1</t>
  </si>
  <si>
    <t>SJO-09-02_7.1</t>
  </si>
  <si>
    <t>SJO-09-02_8.1</t>
  </si>
  <si>
    <t>SJO-09-02_9.1</t>
  </si>
  <si>
    <t>SJO-09-02_16.1</t>
  </si>
  <si>
    <t>SJO-09-02_17.1</t>
  </si>
  <si>
    <t>SJO-09-02_18.1</t>
  </si>
  <si>
    <t>SJO-09-02_19.1</t>
  </si>
  <si>
    <t>SJO-09-02_20.1</t>
  </si>
  <si>
    <t>SJO-09-02_21.1</t>
  </si>
  <si>
    <t>SJO-09-02_22.1</t>
  </si>
  <si>
    <t>SJO-09-02_23.1</t>
  </si>
  <si>
    <t>SJO-09-02_24.1</t>
  </si>
  <si>
    <t>SJO-09-02_25.1</t>
  </si>
  <si>
    <t>SJO-09-02_26.1</t>
  </si>
  <si>
    <t>SJO-09-02_27.1</t>
  </si>
  <si>
    <t>SJO-09-02_28.1</t>
  </si>
  <si>
    <t>SJO-09-02_29.1</t>
  </si>
  <si>
    <t>SJO-09-02_30.1</t>
  </si>
  <si>
    <t>SJO-09-02_31.1</t>
  </si>
  <si>
    <t>SJO-09-02_32.1</t>
  </si>
  <si>
    <t>SJO-09-02_33.1</t>
  </si>
  <si>
    <t>SJO-09-02_34.1</t>
  </si>
  <si>
    <t>SJO-09-02_35.1</t>
  </si>
  <si>
    <t>SJO-09-02_36.1</t>
  </si>
  <si>
    <t>SJO-09-02_37.1</t>
  </si>
  <si>
    <t>SJO-09-02_38.1</t>
  </si>
  <si>
    <t>SJO-09-02_39.1</t>
  </si>
  <si>
    <t>SJO-09-02_40.1</t>
  </si>
  <si>
    <t>SJO-09-02_41.1</t>
  </si>
  <si>
    <t>SJO-09-02_42.1</t>
  </si>
  <si>
    <t>SJO-09-02_43.1</t>
  </si>
  <si>
    <t>SJO-09-02_44.1</t>
  </si>
  <si>
    <t>SJO-09-02_45.1</t>
  </si>
  <si>
    <t>SJO-09-02_47.1</t>
  </si>
  <si>
    <t>SJO-09-03C_1.1</t>
  </si>
  <si>
    <t>SJO-09-03C_10.1</t>
  </si>
  <si>
    <t>SJO-09-03C_2.1</t>
  </si>
  <si>
    <t>SJO-09-03C_3.1</t>
  </si>
  <si>
    <t>SJO-09-03C_4.1</t>
  </si>
  <si>
    <t>SJO-09-03C_5.1</t>
  </si>
  <si>
    <t>SJO-09-03C_6.1</t>
  </si>
  <si>
    <t>SJO-09-03C_7.1</t>
  </si>
  <si>
    <t>SJO-09-03C_8.1</t>
  </si>
  <si>
    <t>SJO-09-03C_9.1</t>
  </si>
  <si>
    <t>1σ absolute error</t>
  </si>
  <si>
    <t xml:space="preserve">1σ % error </t>
  </si>
  <si>
    <r>
      <rPr>
        <vertAlign val="superscript"/>
        <sz val="12"/>
        <rFont val="Arial"/>
        <family val="2"/>
      </rPr>
      <t>254</t>
    </r>
    <r>
      <rPr>
        <sz val="12"/>
        <rFont val="Arial"/>
        <family val="2"/>
      </rPr>
      <t>UO
/</t>
    </r>
    <r>
      <rPr>
        <vertAlign val="superscript"/>
        <sz val="12"/>
        <rFont val="Arial"/>
        <family val="2"/>
      </rPr>
      <t>238</t>
    </r>
    <r>
      <rPr>
        <sz val="12"/>
        <rFont val="Arial"/>
        <family val="2"/>
      </rPr>
      <t>U</t>
    </r>
  </si>
  <si>
    <r>
      <rPr>
        <vertAlign val="superscript"/>
        <sz val="12"/>
        <rFont val="Arial"/>
        <family val="2"/>
      </rPr>
      <t>254</t>
    </r>
    <r>
      <rPr>
        <sz val="12"/>
        <rFont val="Arial"/>
        <family val="2"/>
      </rPr>
      <t>UO
/</t>
    </r>
    <r>
      <rPr>
        <vertAlign val="superscript"/>
        <sz val="12"/>
        <rFont val="Arial"/>
        <family val="2"/>
      </rPr>
      <t>248</t>
    </r>
    <r>
      <rPr>
        <sz val="12"/>
        <rFont val="Arial"/>
        <family val="2"/>
      </rPr>
      <t>ThO</t>
    </r>
  </si>
  <si>
    <r>
      <rPr>
        <vertAlign val="superscript"/>
        <sz val="12"/>
        <rFont val="Arial"/>
        <family val="2"/>
      </rPr>
      <t>248</t>
    </r>
    <r>
      <rPr>
        <sz val="12"/>
        <rFont val="Arial"/>
        <family val="2"/>
      </rPr>
      <t>ThO
/</t>
    </r>
    <r>
      <rPr>
        <vertAlign val="superscript"/>
        <sz val="12"/>
        <rFont val="Arial"/>
        <family val="2"/>
      </rPr>
      <t>254</t>
    </r>
    <r>
      <rPr>
        <sz val="12"/>
        <rFont val="Arial"/>
        <family val="2"/>
      </rPr>
      <t>UO</t>
    </r>
  </si>
  <si>
    <t>SJO-09-02_46.1</t>
  </si>
  <si>
    <t>Analysis Age</t>
  </si>
  <si>
    <t>N</t>
  </si>
  <si>
    <t>∞</t>
  </si>
  <si>
    <t xml:space="preserve">∞ represents at or within error of secular equilbrium </t>
  </si>
  <si>
    <t xml:space="preserve">Corrected(238U/232Th) is activity ratio adjusted using Th/U relative sensitivity factor of 0.847 ± 0.46%. See Supplementary Materials Text for details. </t>
  </si>
  <si>
    <r>
      <rPr>
        <vertAlign val="superscript"/>
        <sz val="12"/>
        <rFont val="Arial"/>
        <family val="2"/>
      </rPr>
      <t>246</t>
    </r>
    <r>
      <rPr>
        <sz val="12"/>
        <rFont val="Arial"/>
        <family val="2"/>
      </rPr>
      <t>ThO
/</t>
    </r>
    <r>
      <rPr>
        <vertAlign val="superscript"/>
        <sz val="12"/>
        <rFont val="Arial"/>
        <family val="2"/>
      </rPr>
      <t>248</t>
    </r>
    <r>
      <rPr>
        <sz val="12"/>
        <rFont val="Arial"/>
        <family val="2"/>
      </rPr>
      <t>ThO</t>
    </r>
  </si>
  <si>
    <r>
      <rPr>
        <vertAlign val="superscript"/>
        <sz val="12"/>
        <rFont val="Arial"/>
        <family val="2"/>
      </rPr>
      <t>(238</t>
    </r>
    <r>
      <rPr>
        <sz val="12"/>
        <rFont val="Arial"/>
        <family val="2"/>
      </rPr>
      <t xml:space="preserve">U/
</t>
    </r>
    <r>
      <rPr>
        <vertAlign val="superscript"/>
        <sz val="12"/>
        <rFont val="Arial"/>
        <family val="2"/>
      </rPr>
      <t>232</t>
    </r>
    <r>
      <rPr>
        <sz val="12"/>
        <rFont val="Arial"/>
        <family val="2"/>
      </rPr>
      <t>Th)</t>
    </r>
  </si>
  <si>
    <r>
      <rPr>
        <vertAlign val="superscript"/>
        <sz val="12"/>
        <rFont val="Arial"/>
        <family val="2"/>
      </rPr>
      <t>(230</t>
    </r>
    <r>
      <rPr>
        <sz val="12"/>
        <rFont val="Arial"/>
        <family val="2"/>
      </rPr>
      <t xml:space="preserve">Th/
</t>
    </r>
    <r>
      <rPr>
        <vertAlign val="superscript"/>
        <sz val="12"/>
        <rFont val="Arial"/>
        <family val="2"/>
      </rPr>
      <t>232</t>
    </r>
    <r>
      <rPr>
        <sz val="12"/>
        <rFont val="Arial"/>
        <family val="2"/>
      </rPr>
      <t>Th)</t>
    </r>
  </si>
  <si>
    <r>
      <rPr>
        <vertAlign val="superscript"/>
        <sz val="12"/>
        <rFont val="Arial"/>
        <family val="2"/>
      </rPr>
      <t>(230</t>
    </r>
    <r>
      <rPr>
        <sz val="12"/>
        <rFont val="Arial"/>
        <family val="2"/>
      </rPr>
      <t xml:space="preserve">Th/
</t>
    </r>
    <r>
      <rPr>
        <vertAlign val="superscript"/>
        <sz val="12"/>
        <rFont val="Arial"/>
        <family val="2"/>
      </rPr>
      <t>238</t>
    </r>
    <r>
      <rPr>
        <sz val="12"/>
        <rFont val="Arial"/>
        <family val="2"/>
      </rPr>
      <t>U)</t>
    </r>
  </si>
  <si>
    <r>
      <t>Corrected</t>
    </r>
    <r>
      <rPr>
        <vertAlign val="superscript"/>
        <sz val="12"/>
        <rFont val="Arial"/>
        <family val="2"/>
      </rPr>
      <t xml:space="preserve"> (238</t>
    </r>
    <r>
      <rPr>
        <sz val="12"/>
        <rFont val="Arial"/>
        <family val="2"/>
      </rPr>
      <t xml:space="preserve">U/
</t>
    </r>
    <r>
      <rPr>
        <vertAlign val="superscript"/>
        <sz val="12"/>
        <rFont val="Arial"/>
        <family val="2"/>
      </rPr>
      <t>232</t>
    </r>
    <r>
      <rPr>
        <sz val="12"/>
        <rFont val="Arial"/>
        <family val="2"/>
      </rPr>
      <t>Th)</t>
    </r>
  </si>
  <si>
    <r>
      <t xml:space="preserve">Activity ratios calculated from measured atomic ratios and decay constants for </t>
    </r>
    <r>
      <rPr>
        <vertAlign val="superscript"/>
        <sz val="12"/>
        <rFont val="Arial"/>
        <family val="2"/>
      </rPr>
      <t>230</t>
    </r>
    <r>
      <rPr>
        <sz val="12"/>
        <rFont val="Arial"/>
        <family val="2"/>
      </rPr>
      <t xml:space="preserve">Th (9.1705 x 10^-6 a^-1), </t>
    </r>
    <r>
      <rPr>
        <vertAlign val="superscript"/>
        <sz val="12"/>
        <rFont val="Arial"/>
        <family val="2"/>
      </rPr>
      <t>232</t>
    </r>
    <r>
      <rPr>
        <sz val="12"/>
        <rFont val="Arial"/>
        <family val="2"/>
      </rPr>
      <t xml:space="preserve">Th (4.94752 x 10^-11 a^-1), </t>
    </r>
    <r>
      <rPr>
        <vertAlign val="superscript"/>
        <sz val="12"/>
        <rFont val="Arial"/>
        <family val="2"/>
      </rPr>
      <t>238</t>
    </r>
    <r>
      <rPr>
        <sz val="12"/>
        <rFont val="Arial"/>
        <family val="2"/>
      </rPr>
      <t>U (1.55125 x 10^-10 a^-1)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</si>
</sst>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0"/>
  </numFmts>
  <fonts count="8">
    <font>
      <sz val="10"/>
      <name val="Arial"/>
    </font>
    <font>
      <sz val="8"/>
      <name val="Arial"/>
      <family val="2"/>
    </font>
    <font>
      <sz val="12"/>
      <name val="Times Roman"/>
    </font>
    <font>
      <sz val="11"/>
      <name val="Arial"/>
      <family val="2"/>
    </font>
    <font>
      <strike/>
      <sz val="11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16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abSelected="1" topLeftCell="A59" zoomScaleNormal="100" workbookViewId="0">
      <selection activeCell="C82" sqref="C82"/>
    </sheetView>
  </sheetViews>
  <sheetFormatPr defaultColWidth="8.77734375" defaultRowHeight="15.6"/>
  <cols>
    <col min="1" max="1" width="33.77734375" style="2" customWidth="1"/>
    <col min="2" max="2" width="22" style="1" customWidth="1"/>
    <col min="3" max="12" width="17.77734375" style="1" customWidth="1"/>
    <col min="13" max="13" width="17.77734375" style="3" customWidth="1"/>
    <col min="14" max="14" width="17.77734375" style="1" customWidth="1"/>
    <col min="15" max="15" width="17.77734375" style="4" customWidth="1"/>
    <col min="16" max="22" width="17.77734375" style="1" customWidth="1"/>
    <col min="23" max="27" width="8.77734375" style="1" customWidth="1"/>
    <col min="28" max="28" width="10.77734375" style="1" customWidth="1"/>
    <col min="29" max="16384" width="8.77734375" style="1"/>
  </cols>
  <sheetData>
    <row r="1" spans="1:23">
      <c r="A1" s="5" t="s">
        <v>3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3" ht="35.4" thickBot="1">
      <c r="A2" s="8" t="s">
        <v>0</v>
      </c>
      <c r="B2" s="9" t="s">
        <v>1</v>
      </c>
      <c r="C2" s="10" t="s">
        <v>147</v>
      </c>
      <c r="D2" s="10" t="s">
        <v>146</v>
      </c>
      <c r="E2" s="10" t="s">
        <v>156</v>
      </c>
      <c r="F2" s="10" t="s">
        <v>146</v>
      </c>
      <c r="G2" s="10" t="s">
        <v>148</v>
      </c>
      <c r="H2" s="10" t="s">
        <v>146</v>
      </c>
      <c r="I2" s="10" t="s">
        <v>149</v>
      </c>
      <c r="J2" s="10" t="s">
        <v>146</v>
      </c>
      <c r="K2" s="10" t="s">
        <v>157</v>
      </c>
      <c r="L2" s="10" t="s">
        <v>146</v>
      </c>
      <c r="M2" s="10" t="s">
        <v>158</v>
      </c>
      <c r="N2" s="10" t="s">
        <v>146</v>
      </c>
      <c r="O2" s="10" t="s">
        <v>159</v>
      </c>
      <c r="P2" s="10" t="s">
        <v>146</v>
      </c>
      <c r="Q2" s="10" t="s">
        <v>160</v>
      </c>
      <c r="R2" s="10" t="s">
        <v>145</v>
      </c>
      <c r="S2" s="10" t="s">
        <v>158</v>
      </c>
      <c r="T2" s="10" t="s">
        <v>145</v>
      </c>
      <c r="U2" s="10" t="s">
        <v>151</v>
      </c>
      <c r="V2" s="10" t="s">
        <v>145</v>
      </c>
      <c r="W2" s="7" t="s">
        <v>152</v>
      </c>
    </row>
    <row r="3" spans="1:23" ht="16.2" thickTop="1">
      <c r="A3" s="15" t="s">
        <v>87</v>
      </c>
      <c r="B3" s="16" t="s">
        <v>16</v>
      </c>
      <c r="C3" s="17">
        <v>6.0363657891049058</v>
      </c>
      <c r="D3" s="17">
        <v>1.7395475030070635</v>
      </c>
      <c r="E3" s="22">
        <v>2.6542249133640182E-5</v>
      </c>
      <c r="F3" s="17">
        <v>4.8244520494536145</v>
      </c>
      <c r="G3" s="17">
        <v>2.1881728775831837</v>
      </c>
      <c r="H3" s="17">
        <v>3.1971250049766988</v>
      </c>
      <c r="I3" s="17">
        <v>0.45181801730570148</v>
      </c>
      <c r="J3" s="17">
        <v>3.3439159335223074</v>
      </c>
      <c r="K3" s="17">
        <v>6.8292012489377401</v>
      </c>
      <c r="L3" s="17">
        <v>2.9869040653188801</v>
      </c>
      <c r="M3" s="17">
        <v>4.9224236203865397</v>
      </c>
      <c r="N3" s="17">
        <v>4.9821476551766901</v>
      </c>
      <c r="O3" s="17">
        <v>0.72008135168339704</v>
      </c>
      <c r="P3" s="17">
        <v>4.9642196270709098</v>
      </c>
      <c r="Q3" s="17">
        <v>5.7843334578502654</v>
      </c>
      <c r="R3" s="17">
        <v>0.17480937006817757</v>
      </c>
      <c r="S3" s="17">
        <v>4.9224236203865397</v>
      </c>
      <c r="T3" s="17">
        <v>0.24524241298095151</v>
      </c>
      <c r="U3" s="18">
        <v>177.38775459269047</v>
      </c>
      <c r="V3" s="18">
        <v>32.727671519705737</v>
      </c>
      <c r="W3" s="20">
        <v>1</v>
      </c>
    </row>
    <row r="4" spans="1:23">
      <c r="A4" s="15" t="s">
        <v>94</v>
      </c>
      <c r="B4" s="16" t="s">
        <v>23</v>
      </c>
      <c r="C4" s="17">
        <v>5.7341803181238822</v>
      </c>
      <c r="D4" s="17">
        <v>20.60293474588239</v>
      </c>
      <c r="E4" s="22">
        <v>2.1020409664608635E-5</v>
      </c>
      <c r="F4" s="17">
        <v>37.735708209440759</v>
      </c>
      <c r="G4" s="17">
        <v>2.4808361089000615</v>
      </c>
      <c r="H4" s="17">
        <v>3.6677080922240495</v>
      </c>
      <c r="I4" s="17">
        <v>0.4040807948629912</v>
      </c>
      <c r="J4" s="17">
        <v>3.7248134418818606</v>
      </c>
      <c r="K4" s="17">
        <v>7.5901372493601</v>
      </c>
      <c r="L4" s="17">
        <v>2.07195945490251</v>
      </c>
      <c r="M4" s="17">
        <v>2.94011462555178</v>
      </c>
      <c r="N4" s="17">
        <v>66.765441796932805</v>
      </c>
      <c r="O4" s="17">
        <v>0.38988491997093899</v>
      </c>
      <c r="P4" s="17">
        <v>69.553600073983603</v>
      </c>
      <c r="Q4" s="17">
        <v>6.4288462502080046</v>
      </c>
      <c r="R4" s="17">
        <v>0.13644635112492126</v>
      </c>
      <c r="S4" s="17">
        <v>2.94011462555178</v>
      </c>
      <c r="T4" s="17">
        <v>1.9629805190858824</v>
      </c>
      <c r="U4" s="18">
        <v>48.000808424493009</v>
      </c>
      <c r="V4" s="18">
        <v>66.752629661649195</v>
      </c>
      <c r="W4" s="20">
        <f>1+W3</f>
        <v>2</v>
      </c>
    </row>
    <row r="5" spans="1:23">
      <c r="A5" s="15" t="s">
        <v>95</v>
      </c>
      <c r="B5" s="16" t="s">
        <v>24</v>
      </c>
      <c r="C5" s="17">
        <v>6.7405064256975331</v>
      </c>
      <c r="D5" s="17">
        <v>3.2813685865510243</v>
      </c>
      <c r="E5" s="22">
        <v>2.3491792237548282E-5</v>
      </c>
      <c r="F5" s="17">
        <v>3.4885389282359056</v>
      </c>
      <c r="G5" s="17">
        <v>2.4897613267501124</v>
      </c>
      <c r="H5" s="17">
        <v>1.6137968666451576</v>
      </c>
      <c r="I5" s="17">
        <v>0.40071150218330065</v>
      </c>
      <c r="J5" s="17">
        <v>1.6369811425173328</v>
      </c>
      <c r="K5" s="17">
        <v>7.8049473483799696</v>
      </c>
      <c r="L5" s="17">
        <v>1.5399432188242199</v>
      </c>
      <c r="M5" s="17">
        <v>4.3574718256424196</v>
      </c>
      <c r="N5" s="17">
        <v>3.4865540435184599</v>
      </c>
      <c r="O5" s="17">
        <v>0.56261068013278503</v>
      </c>
      <c r="P5" s="17">
        <v>3.51604054176115</v>
      </c>
      <c r="Q5" s="17">
        <v>6.610790404077834</v>
      </c>
      <c r="R5" s="17">
        <v>0.10624725113293597</v>
      </c>
      <c r="S5" s="17">
        <v>4.3574718256424196</v>
      </c>
      <c r="T5" s="17">
        <v>0.15192561013211342</v>
      </c>
      <c r="U5" s="18">
        <v>97.349353650074377</v>
      </c>
      <c r="V5" s="18">
        <v>7.6300726247779167</v>
      </c>
      <c r="W5" s="20">
        <f t="shared" ref="W5:W68" si="0">1+W4</f>
        <v>3</v>
      </c>
    </row>
    <row r="6" spans="1:23">
      <c r="A6" s="15" t="s">
        <v>96</v>
      </c>
      <c r="B6" s="16" t="s">
        <v>25</v>
      </c>
      <c r="C6" s="17">
        <v>6.7210868926576719</v>
      </c>
      <c r="D6" s="17">
        <v>3.4717049430608666</v>
      </c>
      <c r="E6" s="22">
        <v>2.4044720453268331E-5</v>
      </c>
      <c r="F6" s="17">
        <v>3.275011201650655</v>
      </c>
      <c r="G6" s="17">
        <v>2.3047024360818105</v>
      </c>
      <c r="H6" s="17">
        <v>1.7254335377760097</v>
      </c>
      <c r="I6" s="17">
        <v>0.43139129241451646</v>
      </c>
      <c r="J6" s="17">
        <v>1.8493970043938865</v>
      </c>
      <c r="K6" s="17">
        <v>7.2092072864828998</v>
      </c>
      <c r="L6" s="17">
        <v>1.6268369468797801</v>
      </c>
      <c r="M6" s="17">
        <v>4.4593237402025796</v>
      </c>
      <c r="N6" s="17">
        <v>3.3307634017810002</v>
      </c>
      <c r="O6" s="17">
        <v>0.623438789334812</v>
      </c>
      <c r="P6" s="17">
        <v>3.4038505409177802</v>
      </c>
      <c r="Q6" s="17">
        <v>6.1061985716510163</v>
      </c>
      <c r="R6" s="17">
        <v>0.10323265884973161</v>
      </c>
      <c r="S6" s="17">
        <v>4.4593237402025796</v>
      </c>
      <c r="T6" s="17">
        <v>0.14852952310559916</v>
      </c>
      <c r="U6" s="18">
        <v>119.70690822463779</v>
      </c>
      <c r="V6" s="18">
        <v>10.24220961518968</v>
      </c>
      <c r="W6" s="20">
        <f t="shared" si="0"/>
        <v>4</v>
      </c>
    </row>
    <row r="7" spans="1:23">
      <c r="A7" s="15" t="s">
        <v>97</v>
      </c>
      <c r="B7" s="16" t="s">
        <v>26</v>
      </c>
      <c r="C7" s="17">
        <v>6.5460688959675766</v>
      </c>
      <c r="D7" s="17">
        <v>2.2872343107028827</v>
      </c>
      <c r="E7" s="22">
        <v>2.2800870782087528E-5</v>
      </c>
      <c r="F7" s="17">
        <v>3.7373701412261759</v>
      </c>
      <c r="G7" s="17">
        <v>2.3503663201632086</v>
      </c>
      <c r="H7" s="17">
        <v>4.9731139905169712</v>
      </c>
      <c r="I7" s="17">
        <v>0.4265099491356461</v>
      </c>
      <c r="J7" s="17">
        <v>5.3558762013260734</v>
      </c>
      <c r="K7" s="17">
        <v>7.3891117467600997</v>
      </c>
      <c r="L7" s="17">
        <v>4.7119989600489101</v>
      </c>
      <c r="M7" s="17">
        <v>4.2148283561635997</v>
      </c>
      <c r="N7" s="17">
        <v>3.7272265404970799</v>
      </c>
      <c r="O7" s="17">
        <v>0.56609339823076599</v>
      </c>
      <c r="P7" s="17">
        <v>6.0752114227252596</v>
      </c>
      <c r="Q7" s="17">
        <v>6.2585776495058045</v>
      </c>
      <c r="R7" s="17">
        <v>0.29630603969019903</v>
      </c>
      <c r="S7" s="17">
        <v>4.2148283561635997</v>
      </c>
      <c r="T7" s="17">
        <v>0.15709620112732647</v>
      </c>
      <c r="U7" s="18">
        <v>100.60772847359759</v>
      </c>
      <c r="V7" s="18">
        <v>12.116035373344623</v>
      </c>
      <c r="W7" s="20">
        <f t="shared" si="0"/>
        <v>5</v>
      </c>
    </row>
    <row r="8" spans="1:23">
      <c r="A8" s="19" t="s">
        <v>98</v>
      </c>
      <c r="B8" s="16" t="s">
        <v>27</v>
      </c>
      <c r="C8" s="17">
        <v>6.7284569290878737</v>
      </c>
      <c r="D8" s="17">
        <v>3.133254149283323</v>
      </c>
      <c r="E8" s="22">
        <v>7.7206726408214578E-5</v>
      </c>
      <c r="F8" s="17">
        <v>30.137971457922951</v>
      </c>
      <c r="G8" s="17">
        <v>3.4906233736777539</v>
      </c>
      <c r="H8" s="17">
        <v>23.581524244294407</v>
      </c>
      <c r="I8" s="17">
        <v>0.21548177182945061</v>
      </c>
      <c r="J8" s="17">
        <v>23.3705223911785</v>
      </c>
      <c r="K8" s="17">
        <v>11.6535747817741</v>
      </c>
      <c r="L8" s="17">
        <v>24.401926685702101</v>
      </c>
      <c r="M8" s="17">
        <v>13.8109736544403</v>
      </c>
      <c r="N8" s="17">
        <v>30.437954176216401</v>
      </c>
      <c r="O8" s="17">
        <v>0.82797432225492995</v>
      </c>
      <c r="P8" s="17">
        <v>3.4179718221069</v>
      </c>
      <c r="Q8" s="17">
        <v>9.870577840162662</v>
      </c>
      <c r="R8" s="17">
        <v>2.4090390909332347</v>
      </c>
      <c r="S8" s="17">
        <v>13.8109736544403</v>
      </c>
      <c r="T8" s="17">
        <v>4.2037778322278587</v>
      </c>
      <c r="U8" s="18" t="s">
        <v>153</v>
      </c>
      <c r="V8" s="18" t="s">
        <v>153</v>
      </c>
      <c r="W8" s="20"/>
    </row>
    <row r="9" spans="1:23">
      <c r="A9" s="15" t="s">
        <v>99</v>
      </c>
      <c r="B9" s="16" t="s">
        <v>28</v>
      </c>
      <c r="C9" s="17">
        <v>6.3466658985367497</v>
      </c>
      <c r="D9" s="17">
        <v>2.311626828797297</v>
      </c>
      <c r="E9" s="22">
        <v>2.6101594144384594E-5</v>
      </c>
      <c r="F9" s="17">
        <v>13.517701806782128</v>
      </c>
      <c r="G9" s="17">
        <v>2.4330682815120102</v>
      </c>
      <c r="H9" s="17">
        <v>1.1150051415452107</v>
      </c>
      <c r="I9" s="17">
        <v>0.41084134693687113</v>
      </c>
      <c r="J9" s="17">
        <v>1.1355077130419391</v>
      </c>
      <c r="K9" s="17">
        <v>7.6201576698879103</v>
      </c>
      <c r="L9" s="17">
        <v>0.99994030997620198</v>
      </c>
      <c r="M9" s="17">
        <v>4.6617274401312798</v>
      </c>
      <c r="N9" s="17">
        <v>9.3025468258540691</v>
      </c>
      <c r="O9" s="17">
        <v>0.61021796249357196</v>
      </c>
      <c r="P9" s="17">
        <v>9.3818350902004699</v>
      </c>
      <c r="Q9" s="17">
        <v>6.4542735463950596</v>
      </c>
      <c r="R9" s="17">
        <v>7.1040433681044443E-2</v>
      </c>
      <c r="S9" s="17">
        <v>4.6617274401312798</v>
      </c>
      <c r="T9" s="17">
        <v>0.43365937801190052</v>
      </c>
      <c r="U9" s="18">
        <v>118.00001717264067</v>
      </c>
      <c r="V9" s="18">
        <v>25.472190551238555</v>
      </c>
      <c r="W9" s="20">
        <v>6</v>
      </c>
    </row>
    <row r="10" spans="1:23">
      <c r="A10" s="15" t="s">
        <v>100</v>
      </c>
      <c r="B10" s="16" t="s">
        <v>29</v>
      </c>
      <c r="C10" s="17">
        <v>6.4062247287562295</v>
      </c>
      <c r="D10" s="17">
        <v>2.3946342334311521</v>
      </c>
      <c r="E10" s="22">
        <v>3.1520340850028171E-5</v>
      </c>
      <c r="F10" s="17">
        <v>4.650482247826603</v>
      </c>
      <c r="G10" s="17">
        <v>3.3973670542641576</v>
      </c>
      <c r="H10" s="17">
        <v>2.7548487019703209</v>
      </c>
      <c r="I10" s="17">
        <v>0.29007234318927694</v>
      </c>
      <c r="J10" s="17">
        <v>3.1729907682626859</v>
      </c>
      <c r="K10" s="17">
        <v>10.612416345299801</v>
      </c>
      <c r="L10" s="17">
        <v>2.4719022868022802</v>
      </c>
      <c r="M10" s="17">
        <v>5.8549222222552402</v>
      </c>
      <c r="N10" s="17">
        <v>4.6594781358197803</v>
      </c>
      <c r="O10" s="17">
        <v>0.54419597326089297</v>
      </c>
      <c r="P10" s="17">
        <v>4.7917809170294001</v>
      </c>
      <c r="Q10" s="17">
        <v>8.9887166444689317</v>
      </c>
      <c r="R10" s="17">
        <v>0.22600681370716585</v>
      </c>
      <c r="S10" s="17">
        <v>5.8549222222552402</v>
      </c>
      <c r="T10" s="17">
        <v>0.27280882081523655</v>
      </c>
      <c r="U10" s="18">
        <v>100.44345295998156</v>
      </c>
      <c r="V10" s="18">
        <v>10.291844142423201</v>
      </c>
      <c r="W10" s="20">
        <f t="shared" si="0"/>
        <v>7</v>
      </c>
    </row>
    <row r="11" spans="1:23">
      <c r="A11" s="15" t="s">
        <v>101</v>
      </c>
      <c r="B11" s="16" t="s">
        <v>30</v>
      </c>
      <c r="C11" s="17">
        <v>6.5811445505780588</v>
      </c>
      <c r="D11" s="17">
        <v>2.2503257435757664</v>
      </c>
      <c r="E11" s="22">
        <v>2.0989419907998707E-5</v>
      </c>
      <c r="F11" s="17">
        <v>7.8561850898012491</v>
      </c>
      <c r="G11" s="17">
        <v>2.0175003688184416</v>
      </c>
      <c r="H11" s="17">
        <v>5.6046010024341575</v>
      </c>
      <c r="I11" s="17">
        <v>0.4750018961250459</v>
      </c>
      <c r="J11" s="17">
        <v>6.2107192519066308</v>
      </c>
      <c r="K11" s="17">
        <v>6.3344313846552396</v>
      </c>
      <c r="L11" s="17">
        <v>5.2917920740057696</v>
      </c>
      <c r="M11" s="17">
        <v>3.9025073624162698</v>
      </c>
      <c r="N11" s="17">
        <v>7.8849975988543104</v>
      </c>
      <c r="O11" s="17">
        <v>0.59757077192681596</v>
      </c>
      <c r="P11" s="17">
        <v>3.07592977138752</v>
      </c>
      <c r="Q11" s="17">
        <v>5.3652633828029881</v>
      </c>
      <c r="R11" s="17">
        <v>0.28498925295145489</v>
      </c>
      <c r="S11" s="17">
        <v>3.9025073624162698</v>
      </c>
      <c r="T11" s="17">
        <v>0.30771261182163551</v>
      </c>
      <c r="U11" s="18">
        <v>115.2441278234961</v>
      </c>
      <c r="V11" s="18">
        <v>25.403398358809717</v>
      </c>
      <c r="W11" s="20">
        <f t="shared" si="0"/>
        <v>8</v>
      </c>
    </row>
    <row r="12" spans="1:23">
      <c r="A12" s="15" t="s">
        <v>102</v>
      </c>
      <c r="B12" s="16" t="s">
        <v>31</v>
      </c>
      <c r="C12" s="17">
        <v>6.3871317180005143</v>
      </c>
      <c r="D12" s="17">
        <v>2.7748197838383728</v>
      </c>
      <c r="E12" s="22">
        <v>2.501215534401385E-5</v>
      </c>
      <c r="F12" s="17">
        <v>3.7078754604919593</v>
      </c>
      <c r="G12" s="17">
        <v>2.5590674328779004</v>
      </c>
      <c r="H12" s="17">
        <v>1.0186782514579082</v>
      </c>
      <c r="I12" s="17">
        <v>0.39020686316323344</v>
      </c>
      <c r="J12" s="17">
        <v>1.0347044431566446</v>
      </c>
      <c r="K12" s="17">
        <v>8.0061499596548007</v>
      </c>
      <c r="L12" s="17">
        <v>0.86503968256018204</v>
      </c>
      <c r="M12" s="17">
        <v>4.6361796749484396</v>
      </c>
      <c r="N12" s="17">
        <v>3.7074855193318399</v>
      </c>
      <c r="O12" s="17">
        <v>0.57639193285213897</v>
      </c>
      <c r="P12" s="17">
        <v>3.7823509990414301</v>
      </c>
      <c r="Q12" s="17">
        <v>6.7812090158276161</v>
      </c>
      <c r="R12" s="17">
        <v>6.6438327428678418E-2</v>
      </c>
      <c r="S12" s="17">
        <v>4.6361796749484396</v>
      </c>
      <c r="T12" s="17">
        <v>0.17188569009891938</v>
      </c>
      <c r="U12" s="18">
        <v>105.63760605586087</v>
      </c>
      <c r="V12" s="18">
        <v>8.5999193834404366</v>
      </c>
      <c r="W12" s="20">
        <f t="shared" si="0"/>
        <v>9</v>
      </c>
    </row>
    <row r="13" spans="1:23">
      <c r="A13" s="15" t="s">
        <v>103</v>
      </c>
      <c r="B13" s="16" t="s">
        <v>32</v>
      </c>
      <c r="C13" s="17">
        <v>5.8079203861793696</v>
      </c>
      <c r="D13" s="17">
        <v>2.9374501830952067</v>
      </c>
      <c r="E13" s="22">
        <v>2.0115015281278734E-5</v>
      </c>
      <c r="F13" s="17">
        <v>3.319328850260364</v>
      </c>
      <c r="G13" s="17">
        <v>1.8525411307290989</v>
      </c>
      <c r="H13" s="17">
        <v>2.0212885876664508</v>
      </c>
      <c r="I13" s="17">
        <v>0.53739443072301696</v>
      </c>
      <c r="J13" s="17">
        <v>2.0838278777766259</v>
      </c>
      <c r="K13" s="17">
        <v>5.7887135061343198</v>
      </c>
      <c r="L13" s="17">
        <v>1.7820472347887</v>
      </c>
      <c r="M13" s="17">
        <v>3.7293123533826402</v>
      </c>
      <c r="N13" s="17">
        <v>3.32080783818928</v>
      </c>
      <c r="O13" s="17">
        <v>0.63527409889483799</v>
      </c>
      <c r="P13" s="17">
        <v>3.3969872136641999</v>
      </c>
      <c r="Q13" s="17">
        <v>4.9030403396957691</v>
      </c>
      <c r="R13" s="17">
        <v>9.0238487383633645E-2</v>
      </c>
      <c r="S13" s="17">
        <v>3.7293123533826402</v>
      </c>
      <c r="T13" s="17">
        <v>0.1238432969416918</v>
      </c>
      <c r="U13" s="18">
        <v>125.63799262272609</v>
      </c>
      <c r="V13" s="18">
        <v>11.888794936390994</v>
      </c>
      <c r="W13" s="20">
        <f t="shared" si="0"/>
        <v>10</v>
      </c>
    </row>
    <row r="14" spans="1:23">
      <c r="A14" s="15" t="s">
        <v>88</v>
      </c>
      <c r="B14" s="16" t="s">
        <v>17</v>
      </c>
      <c r="C14" s="17">
        <v>5.693158108269361</v>
      </c>
      <c r="D14" s="17">
        <v>0.5554369452977117</v>
      </c>
      <c r="E14" s="22">
        <v>2.0637433460923983E-5</v>
      </c>
      <c r="F14" s="17">
        <v>5.5397237120117264</v>
      </c>
      <c r="G14" s="17">
        <v>2.2528115133181603</v>
      </c>
      <c r="H14" s="17">
        <v>2.1756388265412734</v>
      </c>
      <c r="I14" s="17">
        <v>0.4405569385548414</v>
      </c>
      <c r="J14" s="17">
        <v>2.30040250912361</v>
      </c>
      <c r="K14" s="17">
        <v>7.0461159058682403</v>
      </c>
      <c r="L14" s="17">
        <v>2.0069646449904699</v>
      </c>
      <c r="M14" s="17">
        <v>3.8269795973907699</v>
      </c>
      <c r="N14" s="17">
        <v>5.6637756645083899</v>
      </c>
      <c r="O14" s="17">
        <v>0.54093625427062597</v>
      </c>
      <c r="P14" s="17">
        <v>3.16568693070794</v>
      </c>
      <c r="Q14" s="17">
        <v>5.9680601722703992</v>
      </c>
      <c r="R14" s="17">
        <v>0.12288273700440734</v>
      </c>
      <c r="S14" s="17">
        <v>3.8269795973907699</v>
      </c>
      <c r="T14" s="17">
        <v>0.21675153912271958</v>
      </c>
      <c r="U14" s="18">
        <v>89.778866711628964</v>
      </c>
      <c r="V14" s="18">
        <v>11.080037641037109</v>
      </c>
      <c r="W14" s="20">
        <f t="shared" si="0"/>
        <v>11</v>
      </c>
    </row>
    <row r="15" spans="1:23">
      <c r="A15" s="15" t="s">
        <v>89</v>
      </c>
      <c r="B15" s="16" t="s">
        <v>18</v>
      </c>
      <c r="C15" s="17">
        <v>6.6872621987360965</v>
      </c>
      <c r="D15" s="17">
        <v>2.2058912165532116</v>
      </c>
      <c r="E15" s="22">
        <v>2.0515847530567065E-5</v>
      </c>
      <c r="F15" s="17">
        <v>2.9632536886539249</v>
      </c>
      <c r="G15" s="17">
        <v>2.2204436101235308</v>
      </c>
      <c r="H15" s="17">
        <v>1.291704168980256</v>
      </c>
      <c r="I15" s="17">
        <v>0.44915628705812594</v>
      </c>
      <c r="J15" s="17">
        <v>1.3292510896058107</v>
      </c>
      <c r="K15" s="17">
        <v>6.9563043622805703</v>
      </c>
      <c r="L15" s="17">
        <v>1.15433951344094</v>
      </c>
      <c r="M15" s="17">
        <v>3.8044244631923898</v>
      </c>
      <c r="N15" s="17">
        <v>2.959964852538</v>
      </c>
      <c r="O15" s="17">
        <v>0.54298039234812101</v>
      </c>
      <c r="P15" s="17">
        <v>3.0256228416804101</v>
      </c>
      <c r="Q15" s="17">
        <v>5.8919897948516429</v>
      </c>
      <c r="R15" s="17">
        <v>7.3214930926029029E-2</v>
      </c>
      <c r="S15" s="17">
        <v>3.8044244631923898</v>
      </c>
      <c r="T15" s="17">
        <v>0.11260962695185221</v>
      </c>
      <c r="U15" s="18">
        <v>90.772815477526237</v>
      </c>
      <c r="V15" s="18">
        <v>6.0058667876865215</v>
      </c>
      <c r="W15" s="20">
        <f t="shared" si="0"/>
        <v>12</v>
      </c>
    </row>
    <row r="16" spans="1:23">
      <c r="A16" s="15" t="s">
        <v>90</v>
      </c>
      <c r="B16" s="16" t="s">
        <v>19</v>
      </c>
      <c r="C16" s="17">
        <v>7.227899418215471</v>
      </c>
      <c r="D16" s="17">
        <v>3.2470270093112799</v>
      </c>
      <c r="E16" s="22">
        <v>2.2014387443542818E-5</v>
      </c>
      <c r="F16" s="17">
        <v>3.5405377778501035</v>
      </c>
      <c r="G16" s="17">
        <v>2.0086172577325687</v>
      </c>
      <c r="H16" s="17">
        <v>3.1412766906168841</v>
      </c>
      <c r="I16" s="17">
        <v>0.49094003679472747</v>
      </c>
      <c r="J16" s="17">
        <v>3.3092374567175731</v>
      </c>
      <c r="K16" s="17">
        <v>6.2834472123183804</v>
      </c>
      <c r="L16" s="17">
        <v>2.93433927115009</v>
      </c>
      <c r="M16" s="17">
        <v>4.0875415078962396</v>
      </c>
      <c r="N16" s="17">
        <v>3.4838981672310099</v>
      </c>
      <c r="O16" s="17">
        <v>0.64473873049366104</v>
      </c>
      <c r="P16" s="17">
        <v>3.4321532649537199</v>
      </c>
      <c r="Q16" s="17">
        <v>5.3220797888336682</v>
      </c>
      <c r="R16" s="17">
        <v>0.15807514991324625</v>
      </c>
      <c r="S16" s="17">
        <v>4.0875415078962396</v>
      </c>
      <c r="T16" s="17">
        <v>0.1424057836784039</v>
      </c>
      <c r="U16" s="18">
        <v>131.29453232768086</v>
      </c>
      <c r="V16" s="18">
        <v>14.782665987124723</v>
      </c>
      <c r="W16" s="20">
        <f t="shared" si="0"/>
        <v>13</v>
      </c>
    </row>
    <row r="17" spans="1:23">
      <c r="A17" s="15" t="s">
        <v>91</v>
      </c>
      <c r="B17" s="16" t="s">
        <v>20</v>
      </c>
      <c r="C17" s="17">
        <v>5.6702737147788156</v>
      </c>
      <c r="D17" s="17">
        <v>0.86738453246369918</v>
      </c>
      <c r="E17" s="22">
        <v>2.2915405319210154E-5</v>
      </c>
      <c r="F17" s="17">
        <v>3.9738577280106582</v>
      </c>
      <c r="G17" s="17">
        <v>2.2900253742534513</v>
      </c>
      <c r="H17" s="17">
        <v>2.8468151168055345</v>
      </c>
      <c r="I17" s="17">
        <v>0.43656235336764349</v>
      </c>
      <c r="J17" s="17">
        <v>2.9063073814993703</v>
      </c>
      <c r="K17" s="17">
        <v>7.1839478590585601</v>
      </c>
      <c r="L17" s="17">
        <v>2.49436433790666</v>
      </c>
      <c r="M17" s="17">
        <v>4.2616545342947703</v>
      </c>
      <c r="N17" s="17">
        <v>4.0462911154779997</v>
      </c>
      <c r="O17" s="17">
        <v>0.586775386678001</v>
      </c>
      <c r="P17" s="17">
        <v>3.9907873668465501</v>
      </c>
      <c r="Q17" s="17">
        <v>6.0848038366226005</v>
      </c>
      <c r="R17" s="17">
        <v>0.15433650573958943</v>
      </c>
      <c r="S17" s="17">
        <v>4.2616545342947703</v>
      </c>
      <c r="T17" s="17">
        <v>0.17243894879353461</v>
      </c>
      <c r="U17" s="18">
        <v>108.83674883315769</v>
      </c>
      <c r="V17" s="18">
        <v>11.249391963529632</v>
      </c>
      <c r="W17" s="20">
        <f t="shared" si="0"/>
        <v>14</v>
      </c>
    </row>
    <row r="18" spans="1:23">
      <c r="A18" s="15" t="s">
        <v>92</v>
      </c>
      <c r="B18" s="16" t="s">
        <v>21</v>
      </c>
      <c r="C18" s="17">
        <v>5.4978483425110838</v>
      </c>
      <c r="D18" s="17">
        <v>0.45366529316243465</v>
      </c>
      <c r="E18" s="22">
        <v>2.608955010054989E-5</v>
      </c>
      <c r="F18" s="17">
        <v>3.5992760409221809</v>
      </c>
      <c r="G18" s="17">
        <v>2.5142413158451848</v>
      </c>
      <c r="H18" s="17">
        <v>0.86080652501399779</v>
      </c>
      <c r="I18" s="17">
        <v>0.39740633160949151</v>
      </c>
      <c r="J18" s="17">
        <v>0.8659761114132124</v>
      </c>
      <c r="K18" s="17">
        <v>7.8665100569941702</v>
      </c>
      <c r="L18" s="17">
        <v>0.76498898576140595</v>
      </c>
      <c r="M18" s="17">
        <v>4.8432115749170199</v>
      </c>
      <c r="N18" s="17">
        <v>3.5569548301365201</v>
      </c>
      <c r="O18" s="17">
        <v>0.61704201671618697</v>
      </c>
      <c r="P18" s="17">
        <v>3.6274166158080998</v>
      </c>
      <c r="Q18" s="17">
        <v>6.6629340182740622</v>
      </c>
      <c r="R18" s="17">
        <v>5.9476088070095273E-2</v>
      </c>
      <c r="S18" s="17">
        <v>4.8432115749170199</v>
      </c>
      <c r="T18" s="17">
        <v>0.17227084804774198</v>
      </c>
      <c r="U18" s="18">
        <v>120.43270058584771</v>
      </c>
      <c r="V18" s="18">
        <v>10.063646858609573</v>
      </c>
      <c r="W18" s="20">
        <f t="shared" si="0"/>
        <v>15</v>
      </c>
    </row>
    <row r="19" spans="1:23">
      <c r="A19" s="15" t="s">
        <v>93</v>
      </c>
      <c r="B19" s="16" t="s">
        <v>22</v>
      </c>
      <c r="C19" s="17">
        <v>5.5415502340340002</v>
      </c>
      <c r="D19" s="17">
        <v>0.48844567807132888</v>
      </c>
      <c r="E19" s="22">
        <v>2.0886436967467445E-5</v>
      </c>
      <c r="F19" s="17">
        <v>3.8332836153212244</v>
      </c>
      <c r="G19" s="17">
        <v>2.161940594154613</v>
      </c>
      <c r="H19" s="17">
        <v>1.6347220712630315</v>
      </c>
      <c r="I19" s="17">
        <v>0.46155188767371258</v>
      </c>
      <c r="J19" s="17">
        <v>1.6471785359560838</v>
      </c>
      <c r="K19" s="17">
        <v>6.7552459360809696</v>
      </c>
      <c r="L19" s="17">
        <v>1.52246128131836</v>
      </c>
      <c r="M19" s="17">
        <v>3.8709891223324</v>
      </c>
      <c r="N19" s="17">
        <v>3.8123724548203501</v>
      </c>
      <c r="O19" s="17">
        <v>0.57244253009507995</v>
      </c>
      <c r="P19" s="17">
        <v>3.9264002325686902</v>
      </c>
      <c r="Q19" s="17">
        <v>5.7216933078605807</v>
      </c>
      <c r="R19" s="17">
        <v>9.0999900451606552E-2</v>
      </c>
      <c r="S19" s="17">
        <v>3.8709891223324</v>
      </c>
      <c r="T19" s="17">
        <v>0.14757652302889243</v>
      </c>
      <c r="U19" s="18">
        <v>99.469872083937929</v>
      </c>
      <c r="V19" s="18">
        <v>8.8103768881629492</v>
      </c>
      <c r="W19" s="20">
        <f t="shared" si="0"/>
        <v>16</v>
      </c>
    </row>
    <row r="20" spans="1:23">
      <c r="A20" s="15" t="s">
        <v>104</v>
      </c>
      <c r="B20" s="16" t="s">
        <v>43</v>
      </c>
      <c r="C20" s="17">
        <v>5.4235954708283245</v>
      </c>
      <c r="D20" s="17">
        <v>0.92984983813790467</v>
      </c>
      <c r="E20" s="22">
        <v>2.3703373808530733E-5</v>
      </c>
      <c r="F20" s="17">
        <v>7.2543211363763582</v>
      </c>
      <c r="G20" s="17">
        <v>2.0955209638421364</v>
      </c>
      <c r="H20" s="17">
        <v>5.0959219145650332</v>
      </c>
      <c r="I20" s="17">
        <v>0.46468029691329144</v>
      </c>
      <c r="J20" s="17">
        <v>5.3766025698261188</v>
      </c>
      <c r="K20" s="17">
        <v>6.5613907539078999</v>
      </c>
      <c r="L20" s="17">
        <v>4.8809724157268297</v>
      </c>
      <c r="M20" s="17">
        <v>4.4050274492211203</v>
      </c>
      <c r="N20" s="17">
        <v>7.41645647204244</v>
      </c>
      <c r="O20" s="17">
        <v>0.66051420716035003</v>
      </c>
      <c r="P20" s="17">
        <v>6.31005708672261</v>
      </c>
      <c r="Q20" s="17">
        <v>5.7346555189155044</v>
      </c>
      <c r="R20" s="17">
        <v>0.28099104987681023</v>
      </c>
      <c r="S20" s="17">
        <v>4.4050274492211203</v>
      </c>
      <c r="T20" s="17">
        <v>0.32669694335300581</v>
      </c>
      <c r="U20" s="18">
        <v>133.44518882738421</v>
      </c>
      <c r="V20" s="18">
        <v>29.691719081739649</v>
      </c>
      <c r="W20" s="20">
        <f t="shared" si="0"/>
        <v>17</v>
      </c>
    </row>
    <row r="21" spans="1:23">
      <c r="A21" s="15" t="s">
        <v>105</v>
      </c>
      <c r="B21" s="16" t="s">
        <v>44</v>
      </c>
      <c r="C21" s="17">
        <v>5.4431939280129145</v>
      </c>
      <c r="D21" s="17">
        <v>0.7225282145285894</v>
      </c>
      <c r="E21" s="22">
        <v>3.3957809021653252E-5</v>
      </c>
      <c r="F21" s="17">
        <v>4.2171242306523231</v>
      </c>
      <c r="G21" s="17">
        <v>3.0748628190349594</v>
      </c>
      <c r="H21" s="17">
        <v>2.1319511810113014</v>
      </c>
      <c r="I21" s="17">
        <v>0.32517347380304179</v>
      </c>
      <c r="J21" s="17">
        <v>2.1591112845187559</v>
      </c>
      <c r="K21" s="17">
        <v>9.63777803465881</v>
      </c>
      <c r="L21" s="17">
        <v>1.85022519033058</v>
      </c>
      <c r="M21" s="17">
        <v>6.3394005182428099</v>
      </c>
      <c r="N21" s="17">
        <v>4.2891474256359796</v>
      </c>
      <c r="O21" s="17">
        <v>0.65280889757282501</v>
      </c>
      <c r="P21" s="17">
        <v>4.3311995723261099</v>
      </c>
      <c r="Q21" s="17">
        <v>8.4234180022918004</v>
      </c>
      <c r="R21" s="17">
        <v>0.16000577400809798</v>
      </c>
      <c r="S21" s="17">
        <v>6.3394005182428099</v>
      </c>
      <c r="T21" s="17">
        <v>0.27190623412896542</v>
      </c>
      <c r="U21" s="18">
        <v>135.24122904464355</v>
      </c>
      <c r="V21" s="18">
        <v>14.763249818463628</v>
      </c>
      <c r="W21" s="20">
        <f t="shared" si="0"/>
        <v>18</v>
      </c>
    </row>
    <row r="22" spans="1:23">
      <c r="A22" s="15" t="s">
        <v>106</v>
      </c>
      <c r="B22" s="16" t="s">
        <v>45</v>
      </c>
      <c r="C22" s="17">
        <v>6.946920423008681</v>
      </c>
      <c r="D22" s="17">
        <v>1.4580775978640781</v>
      </c>
      <c r="E22" s="22">
        <v>2.3275385573338319E-5</v>
      </c>
      <c r="F22" s="17">
        <v>5.3051498101732237</v>
      </c>
      <c r="G22" s="17">
        <v>2.246011124787906</v>
      </c>
      <c r="H22" s="17">
        <v>3.0193306157534003</v>
      </c>
      <c r="I22" s="17">
        <v>0.44322591908524817</v>
      </c>
      <c r="J22" s="17">
        <v>3.13577919145688</v>
      </c>
      <c r="K22" s="17">
        <v>7.0437688414602402</v>
      </c>
      <c r="L22" s="17">
        <v>2.77231362443804</v>
      </c>
      <c r="M22" s="17">
        <v>4.3197685024282304</v>
      </c>
      <c r="N22" s="17">
        <v>5.3524810433246204</v>
      </c>
      <c r="O22" s="17">
        <v>0.60082975457718901</v>
      </c>
      <c r="P22" s="17">
        <v>3.4024329304385299</v>
      </c>
      <c r="Q22" s="17">
        <v>6.1562539674362498</v>
      </c>
      <c r="R22" s="17">
        <v>0.172711429303811</v>
      </c>
      <c r="S22" s="17">
        <v>4.3197685024282304</v>
      </c>
      <c r="T22" s="17">
        <v>0.23121479020797886</v>
      </c>
      <c r="U22" s="18">
        <v>109.56256399045449</v>
      </c>
      <c r="V22" s="18">
        <v>14.443992148670311</v>
      </c>
      <c r="W22" s="20">
        <f t="shared" si="0"/>
        <v>19</v>
      </c>
    </row>
    <row r="23" spans="1:23">
      <c r="A23" s="15" t="s">
        <v>107</v>
      </c>
      <c r="B23" s="16" t="s">
        <v>46</v>
      </c>
      <c r="C23" s="17">
        <v>6.4788548940865267</v>
      </c>
      <c r="D23" s="17">
        <v>1.4199432215800687</v>
      </c>
      <c r="E23" s="22">
        <v>2.1726353016317352E-5</v>
      </c>
      <c r="F23" s="17">
        <v>2.6877133845837435</v>
      </c>
      <c r="G23" s="17">
        <v>2.0831188081305867</v>
      </c>
      <c r="H23" s="17">
        <v>2.0721603903758385</v>
      </c>
      <c r="I23" s="17">
        <v>0.47784241951176731</v>
      </c>
      <c r="J23" s="17">
        <v>2.1609016574883921</v>
      </c>
      <c r="K23" s="17">
        <v>6.5271935568409303</v>
      </c>
      <c r="L23" s="17">
        <v>1.8810553637821099</v>
      </c>
      <c r="M23" s="17">
        <v>4.0245289615432904</v>
      </c>
      <c r="N23" s="17">
        <v>2.6339397522061101</v>
      </c>
      <c r="O23" s="17">
        <v>0.60928573288490895</v>
      </c>
      <c r="P23" s="17">
        <v>2.66627183147842</v>
      </c>
      <c r="Q23" s="17">
        <v>5.7047671686789734</v>
      </c>
      <c r="R23" s="17">
        <v>0.11007790302102712</v>
      </c>
      <c r="S23" s="17">
        <v>4.0245289615432904</v>
      </c>
      <c r="T23" s="17">
        <v>0.10600366815713648</v>
      </c>
      <c r="U23" s="18">
        <v>109.00934174142121</v>
      </c>
      <c r="V23" s="18">
        <v>7.7985534270856931</v>
      </c>
      <c r="W23" s="20">
        <f t="shared" si="0"/>
        <v>20</v>
      </c>
    </row>
    <row r="24" spans="1:23">
      <c r="A24" s="15" t="s">
        <v>108</v>
      </c>
      <c r="B24" s="16" t="s">
        <v>47</v>
      </c>
      <c r="C24" s="17">
        <v>7.5687763801155068</v>
      </c>
      <c r="D24" s="17">
        <v>1.3191556542123344</v>
      </c>
      <c r="E24" s="22">
        <v>2.3332364440500482E-5</v>
      </c>
      <c r="F24" s="17">
        <v>4.1212914864902315</v>
      </c>
      <c r="G24" s="17">
        <v>2.4331724398303503</v>
      </c>
      <c r="H24" s="17">
        <v>2.4289812056775668</v>
      </c>
      <c r="I24" s="17">
        <v>0.40835071060138517</v>
      </c>
      <c r="J24" s="17">
        <v>2.5081225703489975</v>
      </c>
      <c r="K24" s="17">
        <v>7.6172619600929901</v>
      </c>
      <c r="L24" s="17">
        <v>2.2488376058616102</v>
      </c>
      <c r="M24" s="17">
        <v>4.3260531668183599</v>
      </c>
      <c r="N24" s="17">
        <v>4.0922318396042998</v>
      </c>
      <c r="O24" s="17">
        <v>0.56199080033807103</v>
      </c>
      <c r="P24" s="17">
        <v>4.0751840311252403</v>
      </c>
      <c r="Q24" s="17">
        <v>6.657486953121273</v>
      </c>
      <c r="R24" s="17">
        <v>0.1524284025657999</v>
      </c>
      <c r="S24" s="17">
        <v>4.3260531668183599</v>
      </c>
      <c r="T24" s="17">
        <v>0.17703212509075103</v>
      </c>
      <c r="U24" s="18">
        <v>94.68217539215874</v>
      </c>
      <c r="V24" s="18">
        <v>8.8852529605761461</v>
      </c>
      <c r="W24" s="20">
        <f t="shared" si="0"/>
        <v>21</v>
      </c>
    </row>
    <row r="25" spans="1:23">
      <c r="A25" s="15" t="s">
        <v>109</v>
      </c>
      <c r="B25" s="16" t="s">
        <v>48</v>
      </c>
      <c r="C25" s="17">
        <v>6.7254235944824634</v>
      </c>
      <c r="D25" s="17">
        <v>1.4347930895051275</v>
      </c>
      <c r="E25" s="22">
        <v>4.1708686297120467E-5</v>
      </c>
      <c r="F25" s="17">
        <v>4.5443223204209984</v>
      </c>
      <c r="G25" s="17">
        <v>3.0135713651378531</v>
      </c>
      <c r="H25" s="17">
        <v>2.3433185958568901</v>
      </c>
      <c r="I25" s="17">
        <v>0.33029431234236101</v>
      </c>
      <c r="J25" s="17">
        <v>2.41858375042648</v>
      </c>
      <c r="K25" s="17">
        <v>9.4804800180290201</v>
      </c>
      <c r="L25" s="17">
        <v>2.1824390885131399</v>
      </c>
      <c r="M25" s="17">
        <v>7.7549862445230504</v>
      </c>
      <c r="N25" s="17">
        <v>4.5702764385394898</v>
      </c>
      <c r="O25" s="17">
        <v>0.81908551743264502</v>
      </c>
      <c r="P25" s="17">
        <v>4.6828405794531198</v>
      </c>
      <c r="Q25" s="17">
        <v>8.2859395357573629</v>
      </c>
      <c r="R25" s="17">
        <v>0.18431215993718689</v>
      </c>
      <c r="S25" s="17">
        <v>7.7549862445230504</v>
      </c>
      <c r="T25" s="17">
        <v>0.35442430914541539</v>
      </c>
      <c r="U25" s="18">
        <v>267.43007996920903</v>
      </c>
      <c r="V25" s="18">
        <v>77.844777006123834</v>
      </c>
      <c r="W25" s="20">
        <f t="shared" si="0"/>
        <v>22</v>
      </c>
    </row>
    <row r="26" spans="1:23">
      <c r="A26" s="15" t="s">
        <v>110</v>
      </c>
      <c r="B26" s="16" t="s">
        <v>49</v>
      </c>
      <c r="C26" s="17">
        <v>6.8050774739802913</v>
      </c>
      <c r="D26" s="17">
        <v>1.4881653401285655</v>
      </c>
      <c r="E26" s="22">
        <v>2.5625317990954585E-5</v>
      </c>
      <c r="F26" s="17">
        <v>3.9007332355051201</v>
      </c>
      <c r="G26" s="17">
        <v>2.5499913403686296</v>
      </c>
      <c r="H26" s="17">
        <v>3.0271831527712343</v>
      </c>
      <c r="I26" s="17">
        <v>0.38807429306700075</v>
      </c>
      <c r="J26" s="17">
        <v>3.2428779274931769</v>
      </c>
      <c r="K26" s="17">
        <v>7.9852462025155901</v>
      </c>
      <c r="L26" s="17">
        <v>2.6089529982097099</v>
      </c>
      <c r="M26" s="17">
        <v>4.7537599238594304</v>
      </c>
      <c r="N26" s="17">
        <v>3.8779076574090801</v>
      </c>
      <c r="O26" s="17">
        <v>0.61287661170834595</v>
      </c>
      <c r="P26" s="17">
        <v>3.8906637229444399</v>
      </c>
      <c r="Q26" s="17">
        <v>6.9791051809986255</v>
      </c>
      <c r="R26" s="17">
        <v>0.18453809574710592</v>
      </c>
      <c r="S26" s="17">
        <v>4.7537599238594304</v>
      </c>
      <c r="T26" s="17">
        <v>0.18434642010218888</v>
      </c>
      <c r="U26" s="18">
        <v>105.39439001413004</v>
      </c>
      <c r="V26" s="18">
        <v>10.185806547129111</v>
      </c>
      <c r="W26" s="20">
        <f t="shared" si="0"/>
        <v>23</v>
      </c>
    </row>
    <row r="27" spans="1:23">
      <c r="A27" s="15" t="s">
        <v>111</v>
      </c>
      <c r="B27" s="16" t="s">
        <v>50</v>
      </c>
      <c r="C27" s="17">
        <v>7.2965118398738067</v>
      </c>
      <c r="D27" s="17">
        <v>1.6250917780077831</v>
      </c>
      <c r="E27" s="22">
        <v>2.4607510998469701E-5</v>
      </c>
      <c r="F27" s="17">
        <v>8.9666653702977239</v>
      </c>
      <c r="G27" s="17">
        <v>2.5712948651977645</v>
      </c>
      <c r="H27" s="17">
        <v>1.2927562851417318</v>
      </c>
      <c r="I27" s="17">
        <v>0.38834803770602966</v>
      </c>
      <c r="J27" s="17">
        <v>1.3161042068194997</v>
      </c>
      <c r="K27" s="17">
        <v>8.0618362851154508</v>
      </c>
      <c r="L27" s="17">
        <v>1.1593904111315101</v>
      </c>
      <c r="M27" s="17">
        <v>4.8358271932621797</v>
      </c>
      <c r="N27" s="17">
        <v>3.74940764216778</v>
      </c>
      <c r="O27" s="17">
        <v>0.598046942627939</v>
      </c>
      <c r="P27" s="17">
        <v>3.8190724468391202</v>
      </c>
      <c r="Q27" s="17">
        <v>7.0460449131909044</v>
      </c>
      <c r="R27" s="17">
        <v>8.712872944326866E-2</v>
      </c>
      <c r="S27" s="17">
        <v>4.8358271932621797</v>
      </c>
      <c r="T27" s="17">
        <v>0.18131487434619981</v>
      </c>
      <c r="U27" s="18">
        <v>107.2856198666931</v>
      </c>
      <c r="V27" s="18">
        <v>8.9506443001672693</v>
      </c>
      <c r="W27" s="20">
        <f t="shared" si="0"/>
        <v>24</v>
      </c>
    </row>
    <row r="28" spans="1:23">
      <c r="A28" s="15" t="s">
        <v>112</v>
      </c>
      <c r="B28" s="16" t="s">
        <v>51</v>
      </c>
      <c r="C28" s="17">
        <v>6.056171876323944</v>
      </c>
      <c r="D28" s="17">
        <v>1.9987442475298514</v>
      </c>
      <c r="E28" s="22">
        <v>2.1877763698008394E-5</v>
      </c>
      <c r="F28" s="17">
        <v>5.0619065025129233</v>
      </c>
      <c r="G28" s="17">
        <v>2.33187399072819</v>
      </c>
      <c r="H28" s="17">
        <v>2.6888902448955658</v>
      </c>
      <c r="I28" s="17">
        <v>0.42443192293915416</v>
      </c>
      <c r="J28" s="17">
        <v>2.8345974599290709</v>
      </c>
      <c r="K28" s="17">
        <v>7.2898077637642302</v>
      </c>
      <c r="L28" s="17">
        <v>2.5267673827631101</v>
      </c>
      <c r="M28" s="17">
        <v>4.0600818705333399</v>
      </c>
      <c r="N28" s="17">
        <v>5.1466909926645599</v>
      </c>
      <c r="O28" s="17">
        <v>0.55197257723266302</v>
      </c>
      <c r="P28" s="17">
        <v>3.3642001238577399</v>
      </c>
      <c r="Q28" s="17">
        <v>6.371291985529937</v>
      </c>
      <c r="R28" s="17">
        <v>0.16330223434403834</v>
      </c>
      <c r="S28" s="17">
        <v>4.0600818705333399</v>
      </c>
      <c r="T28" s="17">
        <v>0.20895986792554619</v>
      </c>
      <c r="U28" s="18">
        <v>90.088213035693158</v>
      </c>
      <c r="V28" s="18">
        <v>10.332658865074727</v>
      </c>
      <c r="W28" s="20">
        <f t="shared" si="0"/>
        <v>25</v>
      </c>
    </row>
    <row r="29" spans="1:23">
      <c r="A29" s="15" t="s">
        <v>113</v>
      </c>
      <c r="B29" s="16" t="s">
        <v>52</v>
      </c>
      <c r="C29" s="17">
        <v>7.704457970904655</v>
      </c>
      <c r="D29" s="17">
        <v>1.6682125922581554</v>
      </c>
      <c r="E29" s="22">
        <v>1.8386836734875065E-5</v>
      </c>
      <c r="F29" s="17">
        <v>7.8121074170254294</v>
      </c>
      <c r="G29" s="17">
        <v>1.81021472054628</v>
      </c>
      <c r="H29" s="17">
        <v>2.2829202658219074</v>
      </c>
      <c r="I29" s="17">
        <v>0.55048601495535121</v>
      </c>
      <c r="J29" s="17">
        <v>2.2555188966847539</v>
      </c>
      <c r="K29" s="17">
        <v>5.63292324065121</v>
      </c>
      <c r="L29" s="17">
        <v>1.7058544105056199</v>
      </c>
      <c r="M29" s="17">
        <v>3.4361729648033501</v>
      </c>
      <c r="N29" s="17">
        <v>8.0128864165805709</v>
      </c>
      <c r="O29" s="17">
        <v>0.602205873885577</v>
      </c>
      <c r="P29" s="17">
        <v>8.2655708002220596</v>
      </c>
      <c r="Q29" s="17">
        <v>4.9231749123291575</v>
      </c>
      <c r="R29" s="17">
        <v>8.6609257470717876E-2</v>
      </c>
      <c r="S29" s="17">
        <v>3.4361729648033501</v>
      </c>
      <c r="T29" s="17">
        <v>0.27533663674694153</v>
      </c>
      <c r="U29" s="18">
        <v>102.3659300874635</v>
      </c>
      <c r="V29" s="18">
        <v>19.373570593407905</v>
      </c>
      <c r="W29" s="20">
        <f t="shared" si="0"/>
        <v>26</v>
      </c>
    </row>
    <row r="30" spans="1:23">
      <c r="A30" s="15" t="s">
        <v>114</v>
      </c>
      <c r="B30" s="16" t="s">
        <v>53</v>
      </c>
      <c r="C30" s="17">
        <v>6.7596895626898741</v>
      </c>
      <c r="D30" s="17">
        <v>1.7997230403147779</v>
      </c>
      <c r="E30" s="22">
        <v>2.8872741119328654E-5</v>
      </c>
      <c r="F30" s="17">
        <v>6.7932634465879813</v>
      </c>
      <c r="G30" s="17">
        <v>2.8284446895373518</v>
      </c>
      <c r="H30" s="17">
        <v>3.4697997437801229</v>
      </c>
      <c r="I30" s="17">
        <v>0.35059637204349575</v>
      </c>
      <c r="J30" s="17">
        <v>3.5225491411701024</v>
      </c>
      <c r="K30" s="17">
        <v>8.8646733865262792</v>
      </c>
      <c r="L30" s="17">
        <v>3.4165776982677198</v>
      </c>
      <c r="M30" s="17">
        <v>5.4036309456978904</v>
      </c>
      <c r="N30" s="17">
        <v>6.9733307247836702</v>
      </c>
      <c r="O30" s="17">
        <v>0.59643943320312198</v>
      </c>
      <c r="P30" s="17">
        <v>4.2028219989232296</v>
      </c>
      <c r="Q30" s="17">
        <v>7.7477245398239685</v>
      </c>
      <c r="R30" s="17">
        <v>0.26679526730308667</v>
      </c>
      <c r="S30" s="17">
        <v>5.4036309456978904</v>
      </c>
      <c r="T30" s="17">
        <v>0.3768130569902694</v>
      </c>
      <c r="U30" s="18">
        <v>112.84911389565784</v>
      </c>
      <c r="V30" s="18">
        <v>18.597880278401021</v>
      </c>
      <c r="W30" s="20">
        <f t="shared" si="0"/>
        <v>27</v>
      </c>
    </row>
    <row r="31" spans="1:23">
      <c r="A31" s="19" t="s">
        <v>115</v>
      </c>
      <c r="B31" s="16" t="s">
        <v>54</v>
      </c>
      <c r="C31" s="17">
        <v>6.7995248529010173</v>
      </c>
      <c r="D31" s="17">
        <v>1.2757379950702292</v>
      </c>
      <c r="E31" s="22">
        <v>4.7936264987200581E-5</v>
      </c>
      <c r="F31" s="17">
        <v>4.6500071346866445</v>
      </c>
      <c r="G31" s="17">
        <v>3.3599042609932579</v>
      </c>
      <c r="H31" s="17">
        <v>2.6255237202657722</v>
      </c>
      <c r="I31" s="17">
        <v>0.29640883489526998</v>
      </c>
      <c r="J31" s="17">
        <v>2.6192027508700213</v>
      </c>
      <c r="K31" s="17">
        <v>10.505166352420501</v>
      </c>
      <c r="L31" s="17">
        <v>2.12902139440392</v>
      </c>
      <c r="M31" s="17">
        <v>8.8881886215646109</v>
      </c>
      <c r="N31" s="17">
        <v>4.7240192255343896</v>
      </c>
      <c r="O31" s="17">
        <v>0.83132317517081</v>
      </c>
      <c r="P31" s="17">
        <v>4.7921968979455096</v>
      </c>
      <c r="Q31" s="17">
        <v>9.1815153920155179</v>
      </c>
      <c r="R31" s="17">
        <v>0.19942353091180842</v>
      </c>
      <c r="S31" s="17">
        <v>8.8881886215646109</v>
      </c>
      <c r="T31" s="17">
        <v>0.41987973928447231</v>
      </c>
      <c r="U31" s="18" t="s">
        <v>153</v>
      </c>
      <c r="V31" s="18" t="s">
        <v>153</v>
      </c>
      <c r="W31" s="20"/>
    </row>
    <row r="32" spans="1:23">
      <c r="A32" s="19" t="s">
        <v>116</v>
      </c>
      <c r="B32" s="16" t="s">
        <v>55</v>
      </c>
      <c r="C32" s="17">
        <v>6.6494348356531088</v>
      </c>
      <c r="D32" s="17">
        <v>1.6705136318571041</v>
      </c>
      <c r="E32" s="22">
        <v>3.4847293361258634E-4</v>
      </c>
      <c r="F32" s="17">
        <v>31.223742961326334</v>
      </c>
      <c r="G32" s="17">
        <v>14.344176829000293</v>
      </c>
      <c r="H32" s="17">
        <v>37.255813115465422</v>
      </c>
      <c r="I32" s="17">
        <v>4.3131134428597388E-2</v>
      </c>
      <c r="J32" s="17">
        <v>40.687500390651635</v>
      </c>
      <c r="K32" s="17">
        <v>45.983553604634302</v>
      </c>
      <c r="L32" s="17">
        <v>35.380526706698902</v>
      </c>
      <c r="M32" s="17">
        <v>66.346026691178395</v>
      </c>
      <c r="N32" s="17">
        <v>30.931827083683601</v>
      </c>
      <c r="O32" s="17">
        <v>0.91908594862433102</v>
      </c>
      <c r="P32" s="17">
        <v>3.00128159164275</v>
      </c>
      <c r="Q32" s="17">
        <v>40.189625850450383</v>
      </c>
      <c r="R32" s="17">
        <v>14.220351431254054</v>
      </c>
      <c r="S32" s="17">
        <v>66.346026691178395</v>
      </c>
      <c r="T32" s="17">
        <v>20.522038253009868</v>
      </c>
      <c r="U32" s="18" t="s">
        <v>153</v>
      </c>
      <c r="V32" s="18" t="s">
        <v>153</v>
      </c>
      <c r="W32" s="20"/>
    </row>
    <row r="33" spans="1:23">
      <c r="A33" s="15" t="s">
        <v>117</v>
      </c>
      <c r="B33" s="16" t="s">
        <v>56</v>
      </c>
      <c r="C33" s="17">
        <v>6.4062581190976315</v>
      </c>
      <c r="D33" s="17">
        <v>1.7121980489985527</v>
      </c>
      <c r="E33" s="22">
        <v>2.1472681180945929E-5</v>
      </c>
      <c r="F33" s="17">
        <v>4.6498217731903706</v>
      </c>
      <c r="G33" s="17">
        <v>2.1441880761001793</v>
      </c>
      <c r="H33" s="17">
        <v>2.0330747095646933</v>
      </c>
      <c r="I33" s="17">
        <v>0.46447535931643946</v>
      </c>
      <c r="J33" s="17">
        <v>2.0921970006692909</v>
      </c>
      <c r="K33" s="17">
        <v>6.7102031959402604</v>
      </c>
      <c r="L33" s="17">
        <v>1.9357303532425501</v>
      </c>
      <c r="M33" s="17">
        <v>3.9803261696237602</v>
      </c>
      <c r="N33" s="17">
        <v>4.6662102716088496</v>
      </c>
      <c r="O33" s="17">
        <v>0.59041207209814195</v>
      </c>
      <c r="P33" s="17">
        <v>5.5263242455526402</v>
      </c>
      <c r="Q33" s="17">
        <v>5.8647175932517879</v>
      </c>
      <c r="R33" s="17">
        <v>0.11629236639094735</v>
      </c>
      <c r="S33" s="17">
        <v>3.9803261696237602</v>
      </c>
      <c r="T33" s="17">
        <v>0.18573038857051899</v>
      </c>
      <c r="U33" s="18">
        <v>100.76116885955982</v>
      </c>
      <c r="V33" s="18">
        <v>10.925036593368723</v>
      </c>
      <c r="W33" s="20">
        <v>28</v>
      </c>
    </row>
    <row r="34" spans="1:23">
      <c r="A34" s="15" t="s">
        <v>118</v>
      </c>
      <c r="B34" s="16" t="s">
        <v>57</v>
      </c>
      <c r="C34" s="17">
        <v>5.5638645791517716</v>
      </c>
      <c r="D34" s="17">
        <v>2.0218980141529572</v>
      </c>
      <c r="E34" s="22">
        <v>2.1759408399209571E-5</v>
      </c>
      <c r="F34" s="17">
        <v>3.7435975021683241</v>
      </c>
      <c r="G34" s="17">
        <v>2.1106930036256806</v>
      </c>
      <c r="H34" s="17">
        <v>1.4410685618182226</v>
      </c>
      <c r="I34" s="17">
        <v>0.47398754802007248</v>
      </c>
      <c r="J34" s="17">
        <v>1.4202270779724382</v>
      </c>
      <c r="K34" s="17">
        <v>6.6180079499000399</v>
      </c>
      <c r="L34" s="17">
        <v>1.3198087567141601</v>
      </c>
      <c r="M34" s="17">
        <v>4.0503565436997002</v>
      </c>
      <c r="N34" s="17">
        <v>3.7659521363429298</v>
      </c>
      <c r="O34" s="17">
        <v>0.60721638229262498</v>
      </c>
      <c r="P34" s="17">
        <v>6.5153530417180301</v>
      </c>
      <c r="Q34" s="17">
        <v>5.7841389482126351</v>
      </c>
      <c r="R34" s="17">
        <v>8.0289081540753232E-2</v>
      </c>
      <c r="S34" s="17">
        <v>4.0503565436997002</v>
      </c>
      <c r="T34" s="17">
        <v>0.15253448878696449</v>
      </c>
      <c r="U34" s="18">
        <v>107.56051555442023</v>
      </c>
      <c r="V34" s="18">
        <v>9.5716975161826525</v>
      </c>
      <c r="W34" s="20">
        <f t="shared" si="0"/>
        <v>29</v>
      </c>
    </row>
    <row r="35" spans="1:23">
      <c r="A35" s="19" t="s">
        <v>119</v>
      </c>
      <c r="B35" s="16" t="s">
        <v>58</v>
      </c>
      <c r="C35" s="17">
        <v>6.3995917116244021</v>
      </c>
      <c r="D35" s="17">
        <v>3.5530911284865039</v>
      </c>
      <c r="E35" s="22">
        <v>9.4715105687778791E-5</v>
      </c>
      <c r="F35" s="17">
        <v>11.400454225123847</v>
      </c>
      <c r="G35" s="17">
        <v>5.0694121189339079</v>
      </c>
      <c r="H35" s="17">
        <v>11.922596776258834</v>
      </c>
      <c r="I35" s="17">
        <v>0.1805478009605207</v>
      </c>
      <c r="J35" s="17">
        <v>11.820005007681285</v>
      </c>
      <c r="K35" s="17">
        <v>15.920823789866301</v>
      </c>
      <c r="L35" s="17">
        <v>10.908126487397499</v>
      </c>
      <c r="M35" s="17">
        <v>17.507252057693599</v>
      </c>
      <c r="N35" s="17">
        <v>11.3500605573392</v>
      </c>
      <c r="O35" s="17">
        <v>0.94031756750587003</v>
      </c>
      <c r="P35" s="17">
        <v>3.9142598475057002</v>
      </c>
      <c r="Q35" s="17">
        <v>13.914799992343147</v>
      </c>
      <c r="R35" s="17">
        <v>1.51902285141571</v>
      </c>
      <c r="S35" s="17">
        <v>17.507252057693599</v>
      </c>
      <c r="T35" s="17">
        <v>1.9870837104742365</v>
      </c>
      <c r="U35" s="18" t="s">
        <v>153</v>
      </c>
      <c r="V35" s="18" t="s">
        <v>153</v>
      </c>
      <c r="W35" s="20"/>
    </row>
    <row r="36" spans="1:23">
      <c r="A36" s="19" t="s">
        <v>120</v>
      </c>
      <c r="B36" s="16" t="s">
        <v>59</v>
      </c>
      <c r="C36" s="17">
        <v>6.4371878872008992</v>
      </c>
      <c r="D36" s="17">
        <v>2.7397862120592604</v>
      </c>
      <c r="E36" s="22">
        <v>8.2488133162995835E-5</v>
      </c>
      <c r="F36" s="17">
        <v>16.802852735966216</v>
      </c>
      <c r="G36" s="17">
        <v>4.9650487222334299</v>
      </c>
      <c r="H36" s="17">
        <v>15.273705923491971</v>
      </c>
      <c r="I36" s="17">
        <v>0.18875129398407348</v>
      </c>
      <c r="J36" s="17">
        <v>13.304617203569777</v>
      </c>
      <c r="K36" s="17">
        <v>15.2592473778656</v>
      </c>
      <c r="L36" s="17">
        <v>13.3989575239583</v>
      </c>
      <c r="M36" s="17">
        <v>15.240075720483199</v>
      </c>
      <c r="N36" s="17">
        <v>16.500535474921602</v>
      </c>
      <c r="O36" s="17">
        <v>0.87663254427800197</v>
      </c>
      <c r="P36" s="17">
        <v>4.13387863379576</v>
      </c>
      <c r="Q36" s="17">
        <v>13.336582208254535</v>
      </c>
      <c r="R36" s="17">
        <v>1.7878829446601834</v>
      </c>
      <c r="S36" s="17">
        <v>15.240075720483199</v>
      </c>
      <c r="T36" s="17">
        <v>2.5146941006632444</v>
      </c>
      <c r="U36" s="18" t="s">
        <v>153</v>
      </c>
      <c r="V36" s="18" t="s">
        <v>153</v>
      </c>
      <c r="W36" s="18"/>
    </row>
    <row r="37" spans="1:23">
      <c r="A37" s="15" t="s">
        <v>121</v>
      </c>
      <c r="B37" s="16" t="s">
        <v>60</v>
      </c>
      <c r="C37" s="17">
        <v>6.6156727975757414</v>
      </c>
      <c r="D37" s="17">
        <v>1.610706811074742</v>
      </c>
      <c r="E37" s="22">
        <v>1.7830839131747236E-5</v>
      </c>
      <c r="F37" s="17">
        <v>4.084300173899293</v>
      </c>
      <c r="G37" s="17">
        <v>1.7250719451522467</v>
      </c>
      <c r="H37" s="17">
        <v>1.3250643808667431</v>
      </c>
      <c r="I37" s="17">
        <v>0.57841469233274745</v>
      </c>
      <c r="J37" s="17">
        <v>1.3515389483434546</v>
      </c>
      <c r="K37" s="17">
        <v>5.3948761015532298</v>
      </c>
      <c r="L37" s="17">
        <v>1.06569582728992</v>
      </c>
      <c r="M37" s="17">
        <v>3.3182283204737901</v>
      </c>
      <c r="N37" s="17">
        <v>4.1982973698501196</v>
      </c>
      <c r="O37" s="17">
        <v>0.61335106478481005</v>
      </c>
      <c r="P37" s="17">
        <v>2.7260782618665398</v>
      </c>
      <c r="Q37" s="17">
        <v>4.7151217127575231</v>
      </c>
      <c r="R37" s="17">
        <v>5.4185090531231835E-2</v>
      </c>
      <c r="S37" s="17">
        <v>3.3182283204737901</v>
      </c>
      <c r="T37" s="17">
        <v>0.13930909230407293</v>
      </c>
      <c r="U37" s="18">
        <v>102.9962266612349</v>
      </c>
      <c r="V37" s="18">
        <v>10.456662613041885</v>
      </c>
      <c r="W37" s="20">
        <v>30</v>
      </c>
    </row>
    <row r="38" spans="1:23">
      <c r="A38" s="15" t="s">
        <v>122</v>
      </c>
      <c r="B38" s="16" t="s">
        <v>61</v>
      </c>
      <c r="C38" s="17">
        <v>6.1850412856756334</v>
      </c>
      <c r="D38" s="17">
        <v>1.7840041001632476</v>
      </c>
      <c r="E38" s="22">
        <v>2.6050940618822109E-5</v>
      </c>
      <c r="F38" s="17">
        <v>4.0729126523725334</v>
      </c>
      <c r="G38" s="17">
        <v>2.6622576859452467</v>
      </c>
      <c r="H38" s="17">
        <v>2.3542394125287585</v>
      </c>
      <c r="I38" s="17">
        <v>0.37211307390894033</v>
      </c>
      <c r="J38" s="17">
        <v>2.4975099850955824</v>
      </c>
      <c r="K38" s="17">
        <v>8.3405717564383295</v>
      </c>
      <c r="L38" s="17">
        <v>2.1693557838750599</v>
      </c>
      <c r="M38" s="17">
        <v>4.8254011468578302</v>
      </c>
      <c r="N38" s="17">
        <v>4.0617680975346699</v>
      </c>
      <c r="O38" s="17">
        <v>0.57008397038514402</v>
      </c>
      <c r="P38" s="17">
        <v>4.1352874709737497</v>
      </c>
      <c r="Q38" s="17">
        <v>7.2896597151271001</v>
      </c>
      <c r="R38" s="17">
        <v>0.16121531184035789</v>
      </c>
      <c r="S38" s="17">
        <v>4.8254011468578302</v>
      </c>
      <c r="T38" s="17">
        <v>0.19599660436114344</v>
      </c>
      <c r="U38" s="18">
        <v>100.15438788173817</v>
      </c>
      <c r="V38" s="18">
        <v>9.3072537832086013</v>
      </c>
      <c r="W38" s="20">
        <f t="shared" si="0"/>
        <v>31</v>
      </c>
    </row>
    <row r="39" spans="1:23">
      <c r="A39" s="19" t="s">
        <v>123</v>
      </c>
      <c r="B39" s="16" t="s">
        <v>62</v>
      </c>
      <c r="C39" s="17">
        <v>6.6289703745172783</v>
      </c>
      <c r="D39" s="17">
        <v>1.3007730081043716</v>
      </c>
      <c r="E39" s="22">
        <v>2.191643913144833E-4</v>
      </c>
      <c r="F39" s="17">
        <v>14.09206683126768</v>
      </c>
      <c r="G39" s="17">
        <v>13.770629526497082</v>
      </c>
      <c r="H39" s="17">
        <v>17.362138357075089</v>
      </c>
      <c r="I39" s="17">
        <v>6.2697815293559001E-2</v>
      </c>
      <c r="J39" s="17">
        <v>17.767707041416354</v>
      </c>
      <c r="K39" s="17">
        <v>44.273084701681803</v>
      </c>
      <c r="L39" s="17">
        <v>15.7769492762281</v>
      </c>
      <c r="M39" s="17">
        <v>41.067842009549899</v>
      </c>
      <c r="N39" s="17">
        <v>14.0574179472786</v>
      </c>
      <c r="O39" s="17">
        <v>0.84492787758114896</v>
      </c>
      <c r="P39" s="17">
        <v>1.2795397479222299</v>
      </c>
      <c r="Q39" s="17">
        <v>38.694676029269893</v>
      </c>
      <c r="R39" s="17">
        <v>6.107106425145215</v>
      </c>
      <c r="S39" s="17">
        <v>41.067842009549899</v>
      </c>
      <c r="T39" s="17">
        <v>5.7730781932104875</v>
      </c>
      <c r="U39" s="18" t="s">
        <v>153</v>
      </c>
      <c r="V39" s="18" t="s">
        <v>153</v>
      </c>
      <c r="W39" s="18"/>
    </row>
    <row r="40" spans="1:23">
      <c r="A40" s="15" t="s">
        <v>124</v>
      </c>
      <c r="B40" s="16" t="s">
        <v>63</v>
      </c>
      <c r="C40" s="17">
        <v>6.4553776488245509</v>
      </c>
      <c r="D40" s="17">
        <v>1.4894670603420817</v>
      </c>
      <c r="E40" s="22">
        <v>2.5514819124680052E-5</v>
      </c>
      <c r="F40" s="17">
        <v>3.9847173138587606</v>
      </c>
      <c r="G40" s="17">
        <v>2.6807223463236092</v>
      </c>
      <c r="H40" s="17">
        <v>2.3308756757999753</v>
      </c>
      <c r="I40" s="17">
        <v>0.37105560057348241</v>
      </c>
      <c r="J40" s="17">
        <v>2.381449478798277</v>
      </c>
      <c r="K40" s="17">
        <v>8.4035455217868407</v>
      </c>
      <c r="L40" s="17">
        <v>2.2980849282097</v>
      </c>
      <c r="M40" s="17">
        <v>4.7395703578428199</v>
      </c>
      <c r="N40" s="17">
        <v>3.9057741029578201</v>
      </c>
      <c r="O40" s="17">
        <v>0.55667094439463904</v>
      </c>
      <c r="P40" s="17">
        <v>3.8697229892913998</v>
      </c>
      <c r="Q40" s="17">
        <v>7.3446987860416986</v>
      </c>
      <c r="R40" s="17">
        <v>0.17171670681518419</v>
      </c>
      <c r="S40" s="17">
        <v>4.7395703578428199</v>
      </c>
      <c r="T40" s="17">
        <v>0.18511691162809013</v>
      </c>
      <c r="U40" s="18">
        <v>95.271310226429136</v>
      </c>
      <c r="V40" s="18">
        <v>8.4904773479598532</v>
      </c>
      <c r="W40" s="20">
        <v>32</v>
      </c>
    </row>
    <row r="41" spans="1:23">
      <c r="A41" s="15" t="s">
        <v>125</v>
      </c>
      <c r="B41" s="16" t="s">
        <v>64</v>
      </c>
      <c r="C41" s="17">
        <v>7.2026072191473505</v>
      </c>
      <c r="D41" s="17">
        <v>1.1539649210732104</v>
      </c>
      <c r="E41" s="22">
        <v>2.7139580109697969E-5</v>
      </c>
      <c r="F41" s="17">
        <v>7.2949214493959618</v>
      </c>
      <c r="G41" s="17">
        <v>2.6335751428036218</v>
      </c>
      <c r="H41" s="17">
        <v>3.3758064146417048</v>
      </c>
      <c r="I41" s="17">
        <v>0.3759958743286459</v>
      </c>
      <c r="J41" s="17">
        <v>3.4764228540474256</v>
      </c>
      <c r="K41" s="17">
        <v>8.2664981491296992</v>
      </c>
      <c r="L41" s="17">
        <v>3.2814173009152099</v>
      </c>
      <c r="M41" s="17">
        <v>5.0334439753127898</v>
      </c>
      <c r="N41" s="17">
        <v>7.3365171054493903</v>
      </c>
      <c r="O41" s="17">
        <v>0.59939005025696601</v>
      </c>
      <c r="P41" s="17">
        <v>4.0837270508190597</v>
      </c>
      <c r="Q41" s="17">
        <v>7.2249193823393574</v>
      </c>
      <c r="R41" s="17">
        <v>0.23910662486222967</v>
      </c>
      <c r="S41" s="17">
        <v>5.0334439753127898</v>
      </c>
      <c r="T41" s="17">
        <v>0.36927947824203461</v>
      </c>
      <c r="U41" s="18">
        <v>111.26857474653292</v>
      </c>
      <c r="V41" s="18">
        <v>19.147543706191435</v>
      </c>
      <c r="W41" s="20">
        <f t="shared" si="0"/>
        <v>33</v>
      </c>
    </row>
    <row r="42" spans="1:23">
      <c r="A42" s="15" t="s">
        <v>126</v>
      </c>
      <c r="B42" s="16" t="s">
        <v>65</v>
      </c>
      <c r="C42" s="17">
        <v>5.3715708086180944</v>
      </c>
      <c r="D42" s="17">
        <v>1.4834500652098745</v>
      </c>
      <c r="E42" s="22">
        <v>1.3774333144337555E-5</v>
      </c>
      <c r="F42" s="17">
        <v>7.4357440018320622</v>
      </c>
      <c r="G42" s="17">
        <v>1.0147787931147454</v>
      </c>
      <c r="H42" s="17">
        <v>9.1036666165237214</v>
      </c>
      <c r="I42" s="17">
        <v>0.93728927786131822</v>
      </c>
      <c r="J42" s="17">
        <v>9.7854517074685585</v>
      </c>
      <c r="K42" s="17">
        <v>3.1876352078689401</v>
      </c>
      <c r="L42" s="17">
        <v>8.8215339632649901</v>
      </c>
      <c r="M42" s="17">
        <v>2.5407032747867602</v>
      </c>
      <c r="N42" s="17">
        <v>7.5396836024343798</v>
      </c>
      <c r="O42" s="17">
        <v>0.74772687426615203</v>
      </c>
      <c r="P42" s="17">
        <v>2.54513653198262</v>
      </c>
      <c r="Q42" s="17">
        <v>2.7859931716774535</v>
      </c>
      <c r="R42" s="17">
        <v>0.24605913373442301</v>
      </c>
      <c r="S42" s="17">
        <v>2.5407032747867602</v>
      </c>
      <c r="T42" s="17">
        <v>0.19156098819561065</v>
      </c>
      <c r="U42" s="18">
        <v>185.44176289715745</v>
      </c>
      <c r="V42" s="18">
        <v>115.01488433338477</v>
      </c>
      <c r="W42" s="20">
        <f t="shared" si="0"/>
        <v>34</v>
      </c>
    </row>
    <row r="43" spans="1:23">
      <c r="A43" s="15" t="s">
        <v>127</v>
      </c>
      <c r="B43" s="16" t="s">
        <v>66</v>
      </c>
      <c r="C43" s="17">
        <v>5.6371027648922496</v>
      </c>
      <c r="D43" s="17">
        <v>0.19376578369857494</v>
      </c>
      <c r="E43" s="22">
        <v>2.2533125718679403E-5</v>
      </c>
      <c r="F43" s="17">
        <v>3.3254963996723008</v>
      </c>
      <c r="G43" s="17">
        <v>2.2153700348639518</v>
      </c>
      <c r="H43" s="17">
        <v>0.45174485960604505</v>
      </c>
      <c r="I43" s="17">
        <v>0.45142953362658228</v>
      </c>
      <c r="J43" s="17">
        <v>0.45245539584529176</v>
      </c>
      <c r="K43" s="17">
        <v>6.9487231985798799</v>
      </c>
      <c r="L43" s="17">
        <v>0.43180227027936702</v>
      </c>
      <c r="M43" s="17">
        <v>4.1802067167251096</v>
      </c>
      <c r="N43" s="17">
        <v>3.3291736816555701</v>
      </c>
      <c r="O43" s="17">
        <v>0.60134776430884795</v>
      </c>
      <c r="P43" s="17">
        <v>3.3892315724341899</v>
      </c>
      <c r="Q43" s="17">
        <v>6.0731840755588147</v>
      </c>
      <c r="R43" s="17">
        <v>3.7009228368742986E-2</v>
      </c>
      <c r="S43" s="17">
        <v>4.1802067167251096</v>
      </c>
      <c r="T43" s="17">
        <v>0.13916634185201077</v>
      </c>
      <c r="U43" s="18">
        <v>104.72549475966272</v>
      </c>
      <c r="V43" s="18">
        <v>7.7393679061225313</v>
      </c>
      <c r="W43" s="20">
        <f t="shared" si="0"/>
        <v>35</v>
      </c>
    </row>
    <row r="44" spans="1:23">
      <c r="A44" s="15" t="s">
        <v>128</v>
      </c>
      <c r="B44" s="16" t="s">
        <v>67</v>
      </c>
      <c r="C44" s="17">
        <v>6.077819887894</v>
      </c>
      <c r="D44" s="17">
        <v>1.0656687770982947</v>
      </c>
      <c r="E44" s="22">
        <v>2.7217006573640606E-5</v>
      </c>
      <c r="F44" s="17">
        <v>4.1105933130507655</v>
      </c>
      <c r="G44" s="17">
        <v>2.9242554358050477</v>
      </c>
      <c r="H44" s="17">
        <v>2.2716985165143373</v>
      </c>
      <c r="I44" s="17">
        <v>0.34145626397371154</v>
      </c>
      <c r="J44" s="17">
        <v>2.3534029797950486</v>
      </c>
      <c r="K44" s="17">
        <v>9.1632763259304504</v>
      </c>
      <c r="L44" s="17">
        <v>2.10717250157944</v>
      </c>
      <c r="M44" s="17">
        <v>5.0497241336924903</v>
      </c>
      <c r="N44" s="17">
        <v>4.1443641041319399</v>
      </c>
      <c r="O44" s="17">
        <v>0.54581832921675599</v>
      </c>
      <c r="P44" s="17">
        <v>4.1308747531415202</v>
      </c>
      <c r="Q44" s="17">
        <v>8.0087035088632135</v>
      </c>
      <c r="R44" s="17">
        <v>0.17223509557503608</v>
      </c>
      <c r="S44" s="17">
        <v>5.0497241336924903</v>
      </c>
      <c r="T44" s="17">
        <v>0.20927895435443913</v>
      </c>
      <c r="U44" s="18">
        <v>92.511832657309625</v>
      </c>
      <c r="V44" s="18">
        <v>8.2518680849651673</v>
      </c>
      <c r="W44" s="20">
        <f t="shared" si="0"/>
        <v>36</v>
      </c>
    </row>
    <row r="45" spans="1:23">
      <c r="A45" s="15" t="s">
        <v>129</v>
      </c>
      <c r="B45" s="16" t="s">
        <v>68</v>
      </c>
      <c r="C45" s="17">
        <v>6.7945354750311262</v>
      </c>
      <c r="D45" s="17">
        <v>1.3708383321163913</v>
      </c>
      <c r="E45" s="22">
        <v>2.3730416993900328E-5</v>
      </c>
      <c r="F45" s="17">
        <v>3.4694332105870216</v>
      </c>
      <c r="G45" s="17">
        <v>2.3081939477423816</v>
      </c>
      <c r="H45" s="17">
        <v>4.0541384493928838</v>
      </c>
      <c r="I45" s="17">
        <v>0.42901279024630795</v>
      </c>
      <c r="J45" s="17">
        <v>4.3008338738191378</v>
      </c>
      <c r="K45" s="17">
        <v>7.2712215556525797</v>
      </c>
      <c r="L45" s="17">
        <v>3.7839651276918298</v>
      </c>
      <c r="M45" s="17">
        <v>4.4004101318034801</v>
      </c>
      <c r="N45" s="17">
        <v>3.40269053133051</v>
      </c>
      <c r="O45" s="17">
        <v>0.59088737690721505</v>
      </c>
      <c r="P45" s="17">
        <v>3.3649010310229799</v>
      </c>
      <c r="Q45" s="17">
        <v>6.3550476396403548</v>
      </c>
      <c r="R45" s="17">
        <v>0.24202047405238636</v>
      </c>
      <c r="S45" s="17">
        <v>4.4004101318034801</v>
      </c>
      <c r="T45" s="17">
        <v>0.14973233889458543</v>
      </c>
      <c r="U45" s="18">
        <v>107.13980926421219</v>
      </c>
      <c r="V45" s="18">
        <v>11.319243945142048</v>
      </c>
      <c r="W45" s="20">
        <f t="shared" si="0"/>
        <v>37</v>
      </c>
    </row>
    <row r="46" spans="1:23">
      <c r="A46" s="15" t="s">
        <v>130</v>
      </c>
      <c r="B46" s="16" t="s">
        <v>69</v>
      </c>
      <c r="C46" s="17">
        <v>6.5439732276648508</v>
      </c>
      <c r="D46" s="17">
        <v>1.9623853116997561</v>
      </c>
      <c r="E46" s="22">
        <v>2.6110113442555062E-5</v>
      </c>
      <c r="F46" s="17">
        <v>4.5404697128906744</v>
      </c>
      <c r="G46" s="17">
        <v>2.6708446456961572</v>
      </c>
      <c r="H46" s="17">
        <v>2.6393249671985286</v>
      </c>
      <c r="I46" s="17">
        <v>0.37585626287968127</v>
      </c>
      <c r="J46" s="17">
        <v>2.7507460436830793</v>
      </c>
      <c r="K46" s="17">
        <v>8.3890233378492898</v>
      </c>
      <c r="L46" s="17">
        <v>2.5858311869720798</v>
      </c>
      <c r="M46" s="17">
        <v>4.8489780477203199</v>
      </c>
      <c r="N46" s="17">
        <v>4.6366609635343501</v>
      </c>
      <c r="O46" s="17">
        <v>0.57920815958661298</v>
      </c>
      <c r="P46" s="17">
        <v>4.4965865975986103</v>
      </c>
      <c r="Q46" s="17">
        <v>7.3320063972802796</v>
      </c>
      <c r="R46" s="17">
        <v>0.19219680994822638</v>
      </c>
      <c r="S46" s="17">
        <v>4.8489780477203199</v>
      </c>
      <c r="T46" s="17">
        <v>0.22483067226899811</v>
      </c>
      <c r="U46" s="18">
        <v>100.07580780248257</v>
      </c>
      <c r="V46" s="18">
        <v>10.682503245949491</v>
      </c>
      <c r="W46" s="20">
        <f t="shared" si="0"/>
        <v>38</v>
      </c>
    </row>
    <row r="47" spans="1:23">
      <c r="A47" s="19" t="s">
        <v>131</v>
      </c>
      <c r="B47" s="16" t="s">
        <v>70</v>
      </c>
      <c r="C47" s="17">
        <v>6.3140056585094255</v>
      </c>
      <c r="D47" s="17">
        <v>1.7308487146034304</v>
      </c>
      <c r="E47" s="22">
        <v>2.8005393619970128E-5</v>
      </c>
      <c r="F47" s="17">
        <v>12.459802612732917</v>
      </c>
      <c r="G47" s="17">
        <v>1.9530327277119337</v>
      </c>
      <c r="H47" s="17">
        <v>7.4633819097852063</v>
      </c>
      <c r="I47" s="17">
        <v>0.49489812466449135</v>
      </c>
      <c r="J47" s="17">
        <v>8.2961810657239106</v>
      </c>
      <c r="K47" s="17">
        <v>6.1312755756109203</v>
      </c>
      <c r="L47" s="17">
        <v>7.0723854039725298</v>
      </c>
      <c r="M47" s="17">
        <v>5.3400036199024896</v>
      </c>
      <c r="N47" s="17">
        <v>12.6858369647831</v>
      </c>
      <c r="O47" s="17">
        <v>0.90146212377847001</v>
      </c>
      <c r="P47" s="17">
        <v>6.8794741666716996</v>
      </c>
      <c r="Q47" s="17">
        <v>5.358734853083944</v>
      </c>
      <c r="R47" s="17">
        <v>0.37969022755506399</v>
      </c>
      <c r="S47" s="17">
        <v>5.3400036199024896</v>
      </c>
      <c r="T47" s="17">
        <v>0.67742415313434567</v>
      </c>
      <c r="U47" s="18" t="s">
        <v>153</v>
      </c>
      <c r="V47" s="18" t="s">
        <v>153</v>
      </c>
      <c r="W47" s="18"/>
    </row>
    <row r="48" spans="1:23">
      <c r="A48" s="19" t="s">
        <v>132</v>
      </c>
      <c r="B48" s="16" t="s">
        <v>71</v>
      </c>
      <c r="C48" s="17">
        <v>6.120216560372377</v>
      </c>
      <c r="D48" s="17">
        <v>1.3529559590460387</v>
      </c>
      <c r="E48" s="22">
        <v>6.5983903765637369E-5</v>
      </c>
      <c r="F48" s="17">
        <v>5.0341396858018088</v>
      </c>
      <c r="G48" s="17">
        <v>4.2853532607676241</v>
      </c>
      <c r="H48" s="17">
        <v>4.9829011960441818</v>
      </c>
      <c r="I48" s="17">
        <v>0.23300427514330641</v>
      </c>
      <c r="J48" s="17">
        <v>4.7146883227334362</v>
      </c>
      <c r="K48" s="17">
        <v>13.4838247087397</v>
      </c>
      <c r="L48" s="17">
        <v>4.5562964711324296</v>
      </c>
      <c r="M48" s="17">
        <v>12.2737206069504</v>
      </c>
      <c r="N48" s="17">
        <v>4.9048288505308797</v>
      </c>
      <c r="O48" s="17">
        <v>0.88976413326334902</v>
      </c>
      <c r="P48" s="17">
        <v>2.51933142916385</v>
      </c>
      <c r="Q48" s="17">
        <v>11.784862795438498</v>
      </c>
      <c r="R48" s="17">
        <v>0.53933920648514788</v>
      </c>
      <c r="S48" s="17">
        <v>12.2737206069504</v>
      </c>
      <c r="T48" s="17">
        <v>0.60200498936325697</v>
      </c>
      <c r="U48" s="18" t="s">
        <v>153</v>
      </c>
      <c r="V48" s="18" t="s">
        <v>153</v>
      </c>
      <c r="W48" s="18"/>
    </row>
    <row r="49" spans="1:23">
      <c r="A49" s="15" t="s">
        <v>133</v>
      </c>
      <c r="B49" s="16" t="s">
        <v>72</v>
      </c>
      <c r="C49" s="17">
        <v>6.5282199793863089</v>
      </c>
      <c r="D49" s="17">
        <v>2.2474359430035005</v>
      </c>
      <c r="E49" s="22">
        <v>2.7418732417025738E-5</v>
      </c>
      <c r="F49" s="17">
        <v>3.9232813800585036</v>
      </c>
      <c r="G49" s="17">
        <v>2.9353781147966598</v>
      </c>
      <c r="H49" s="17">
        <v>2.513693754074708</v>
      </c>
      <c r="I49" s="17">
        <v>0.33978185372941078</v>
      </c>
      <c r="J49" s="17">
        <v>2.537329745209254</v>
      </c>
      <c r="K49" s="17">
        <v>9.1700361219902398</v>
      </c>
      <c r="L49" s="17">
        <v>2.3443026140773</v>
      </c>
      <c r="M49" s="17">
        <v>5.0820767681670098</v>
      </c>
      <c r="N49" s="17">
        <v>3.94743472294831</v>
      </c>
      <c r="O49" s="17">
        <v>0.55914063926627799</v>
      </c>
      <c r="P49" s="17">
        <v>4.0733430200715901</v>
      </c>
      <c r="Q49" s="17">
        <v>8.0146115706194703</v>
      </c>
      <c r="R49" s="17">
        <v>0.19102124729566738</v>
      </c>
      <c r="S49" s="17">
        <v>5.0820767681670098</v>
      </c>
      <c r="T49" s="17">
        <v>0.20061166299351382</v>
      </c>
      <c r="U49" s="18">
        <v>93.545350755011214</v>
      </c>
      <c r="V49" s="18">
        <v>8.2339871104359048</v>
      </c>
      <c r="W49" s="20">
        <v>39</v>
      </c>
    </row>
    <row r="50" spans="1:23">
      <c r="A50" s="15" t="s">
        <v>150</v>
      </c>
      <c r="B50" s="16" t="s">
        <v>73</v>
      </c>
      <c r="C50" s="17">
        <v>6.2305212840382129</v>
      </c>
      <c r="D50" s="17">
        <v>1.8095475206582698</v>
      </c>
      <c r="E50" s="22">
        <v>2.1315690792984536E-5</v>
      </c>
      <c r="F50" s="17">
        <v>2.8568674260709219</v>
      </c>
      <c r="G50" s="17">
        <v>2.0797842935572852</v>
      </c>
      <c r="H50" s="17">
        <v>3.3262723543672568</v>
      </c>
      <c r="I50" s="17">
        <v>0.47255634210009967</v>
      </c>
      <c r="J50" s="17">
        <v>3.6062358220801518</v>
      </c>
      <c r="K50" s="17">
        <v>6.50977301476623</v>
      </c>
      <c r="L50" s="17">
        <v>3.0028589072496401</v>
      </c>
      <c r="M50" s="17">
        <v>3.9510854899525798</v>
      </c>
      <c r="N50" s="17">
        <v>2.8089130744363802</v>
      </c>
      <c r="O50" s="17">
        <v>0.59526533678561799</v>
      </c>
      <c r="P50" s="17">
        <v>2.78886773958763</v>
      </c>
      <c r="Q50" s="17">
        <v>5.6895416149056848</v>
      </c>
      <c r="R50" s="17">
        <v>0.17259167627862557</v>
      </c>
      <c r="S50" s="17">
        <v>3.9510854899525798</v>
      </c>
      <c r="T50" s="17">
        <v>0.11098255690943672</v>
      </c>
      <c r="U50" s="18">
        <v>105.17784466124306</v>
      </c>
      <c r="V50" s="18">
        <v>9.1563570987794805</v>
      </c>
      <c r="W50" s="20">
        <f t="shared" si="0"/>
        <v>40</v>
      </c>
    </row>
    <row r="51" spans="1:23">
      <c r="A51" s="19" t="s">
        <v>134</v>
      </c>
      <c r="B51" s="16" t="s">
        <v>74</v>
      </c>
      <c r="C51" s="17">
        <v>6.5750020672865173</v>
      </c>
      <c r="D51" s="17">
        <v>2.4861579914565177</v>
      </c>
      <c r="E51" s="22">
        <v>1.0154936198871216E-4</v>
      </c>
      <c r="F51" s="17">
        <v>7.1265369070886235</v>
      </c>
      <c r="G51" s="17">
        <v>6.5862228579572299</v>
      </c>
      <c r="H51" s="17">
        <v>7.6626824423036384</v>
      </c>
      <c r="I51" s="17">
        <v>0.14586637479766862</v>
      </c>
      <c r="J51" s="17">
        <v>7.1273935635601973</v>
      </c>
      <c r="K51" s="17">
        <v>20.906698736822602</v>
      </c>
      <c r="L51" s="17">
        <v>6.8281117988888598</v>
      </c>
      <c r="M51" s="17">
        <v>18.8124653072028</v>
      </c>
      <c r="N51" s="17">
        <v>7.0768473584190099</v>
      </c>
      <c r="O51" s="17">
        <v>0.87938436959042998</v>
      </c>
      <c r="P51" s="17">
        <v>2.5319068975076502</v>
      </c>
      <c r="Q51" s="17">
        <v>18.272454695982955</v>
      </c>
      <c r="R51" s="17">
        <v>1.2501352068853193</v>
      </c>
      <c r="S51" s="17">
        <v>18.8124653072028</v>
      </c>
      <c r="T51" s="17">
        <v>1.3313294541462739</v>
      </c>
      <c r="U51" s="18" t="s">
        <v>153</v>
      </c>
      <c r="V51" s="18" t="s">
        <v>153</v>
      </c>
      <c r="W51" s="18"/>
    </row>
    <row r="52" spans="1:23">
      <c r="A52" s="15" t="s">
        <v>135</v>
      </c>
      <c r="B52" s="16" t="s">
        <v>33</v>
      </c>
      <c r="C52" s="17">
        <v>6.0278449962187395</v>
      </c>
      <c r="D52" s="17">
        <v>2.1182564901726213</v>
      </c>
      <c r="E52" s="22">
        <v>2.2177535050879746E-5</v>
      </c>
      <c r="F52" s="17">
        <v>6.4400611387302478</v>
      </c>
      <c r="G52" s="17">
        <v>2.0174165670846671</v>
      </c>
      <c r="H52" s="17">
        <v>1.8782003832537901</v>
      </c>
      <c r="I52" s="17">
        <v>0.49589983231113077</v>
      </c>
      <c r="J52" s="17">
        <v>1.9321732111068322</v>
      </c>
      <c r="K52" s="17">
        <v>6.3357965529704003</v>
      </c>
      <c r="L52" s="17">
        <v>1.75821319025887</v>
      </c>
      <c r="M52" s="17">
        <v>4.1417660979147399</v>
      </c>
      <c r="N52" s="17">
        <v>6.5364984457240398</v>
      </c>
      <c r="O52" s="17">
        <v>0.65850209841780205</v>
      </c>
      <c r="P52" s="17">
        <v>6.6732426307980601</v>
      </c>
      <c r="Q52" s="17">
        <v>5.3664196803659285</v>
      </c>
      <c r="R52" s="17">
        <v>9.7528881082422275E-2</v>
      </c>
      <c r="S52" s="17">
        <v>4.1417660979147399</v>
      </c>
      <c r="T52" s="17">
        <v>0.27072647661572219</v>
      </c>
      <c r="U52" s="18">
        <v>133.17261873224822</v>
      </c>
      <c r="V52" s="18">
        <v>23.209618514822459</v>
      </c>
      <c r="W52" s="20">
        <v>41</v>
      </c>
    </row>
    <row r="53" spans="1:23">
      <c r="A53" s="15" t="s">
        <v>137</v>
      </c>
      <c r="B53" s="16" t="s">
        <v>35</v>
      </c>
      <c r="C53" s="17">
        <v>6.2926330968697748</v>
      </c>
      <c r="D53" s="17">
        <v>2.4975108832672945</v>
      </c>
      <c r="E53" s="22">
        <v>2.4991194690618067E-5</v>
      </c>
      <c r="F53" s="17">
        <v>10.995064657345797</v>
      </c>
      <c r="G53" s="17">
        <v>1.9365359754543818</v>
      </c>
      <c r="H53" s="17">
        <v>6.1891033353885812</v>
      </c>
      <c r="I53" s="17">
        <v>0.511265949630482</v>
      </c>
      <c r="J53" s="17">
        <v>6.3310542338536973</v>
      </c>
      <c r="K53" s="17">
        <v>5.9812029735952503</v>
      </c>
      <c r="L53" s="17">
        <v>5.5049729235015699</v>
      </c>
      <c r="M53" s="17">
        <v>4.6947889280972603</v>
      </c>
      <c r="N53" s="17">
        <v>11.4993459615958</v>
      </c>
      <c r="O53" s="17">
        <v>0.80549009815480299</v>
      </c>
      <c r="P53" s="17">
        <v>11.038381525259</v>
      </c>
      <c r="Q53" s="17">
        <v>5.0660789186351769</v>
      </c>
      <c r="R53" s="17">
        <v>0.27985822807873911</v>
      </c>
      <c r="S53" s="17">
        <v>4.6947889280972603</v>
      </c>
      <c r="T53" s="17">
        <v>0.53987002100859904</v>
      </c>
      <c r="U53" s="18" t="s">
        <v>153</v>
      </c>
      <c r="V53" s="18" t="s">
        <v>153</v>
      </c>
      <c r="W53" s="18"/>
    </row>
    <row r="54" spans="1:23">
      <c r="A54" s="19" t="s">
        <v>138</v>
      </c>
      <c r="B54" s="16" t="s">
        <v>36</v>
      </c>
      <c r="C54" s="17">
        <v>6.7112305806378574</v>
      </c>
      <c r="D54" s="17">
        <v>3.5526986961297071</v>
      </c>
      <c r="E54" s="22">
        <v>2.2001734685603781E-5</v>
      </c>
      <c r="F54" s="17">
        <v>2.8782242801677604</v>
      </c>
      <c r="G54" s="17">
        <v>1.4926602568733451</v>
      </c>
      <c r="H54" s="17">
        <v>3.0264463733172069</v>
      </c>
      <c r="I54" s="17">
        <v>0.67097543458851527</v>
      </c>
      <c r="J54" s="17">
        <v>2.8906853244702284</v>
      </c>
      <c r="K54" s="17">
        <v>4.6467464876887199</v>
      </c>
      <c r="L54" s="17">
        <v>2.32959910136297</v>
      </c>
      <c r="M54" s="17">
        <v>4.0828014774262504</v>
      </c>
      <c r="N54" s="17">
        <v>2.9623215495698898</v>
      </c>
      <c r="O54" s="17">
        <v>0.93290235094790697</v>
      </c>
      <c r="P54" s="17">
        <v>4.7764134074457703</v>
      </c>
      <c r="Q54" s="17">
        <v>3.9357942750723458</v>
      </c>
      <c r="R54" s="17">
        <v>9.3458598586651273E-2</v>
      </c>
      <c r="S54" s="17">
        <v>4.0828014774262504</v>
      </c>
      <c r="T54" s="17">
        <v>0.12094570799195566</v>
      </c>
      <c r="U54" s="18" t="s">
        <v>153</v>
      </c>
      <c r="V54" s="18" t="s">
        <v>153</v>
      </c>
      <c r="W54" s="18"/>
    </row>
    <row r="55" spans="1:23">
      <c r="A55" s="15" t="s">
        <v>139</v>
      </c>
      <c r="B55" s="16" t="s">
        <v>37</v>
      </c>
      <c r="C55" s="17">
        <v>7.1509513598822823</v>
      </c>
      <c r="D55" s="17">
        <v>2.2440782257169523</v>
      </c>
      <c r="E55" s="22">
        <v>2.30248882235475E-5</v>
      </c>
      <c r="F55" s="17">
        <v>8.035605406550971</v>
      </c>
      <c r="G55" s="17">
        <v>2.4910218194582008</v>
      </c>
      <c r="H55" s="17">
        <v>4.3957010583722465</v>
      </c>
      <c r="I55" s="17">
        <v>0.39034015666858107</v>
      </c>
      <c r="J55" s="17">
        <v>3.6592563809526051</v>
      </c>
      <c r="K55" s="17">
        <v>7.90064609885229</v>
      </c>
      <c r="L55" s="17">
        <v>3.8483563589547498</v>
      </c>
      <c r="M55" s="17">
        <v>4.2706799532884103</v>
      </c>
      <c r="N55" s="17">
        <v>8.0399082684603709</v>
      </c>
      <c r="O55" s="17">
        <v>0.54391802789449195</v>
      </c>
      <c r="P55" s="17">
        <v>4.5919776100701197</v>
      </c>
      <c r="Q55" s="17">
        <v>6.6918472457278897</v>
      </c>
      <c r="R55" s="17">
        <v>0.25935934389579945</v>
      </c>
      <c r="S55" s="17">
        <v>4.2706799532884103</v>
      </c>
      <c r="T55" s="17">
        <v>0.34335875068391436</v>
      </c>
      <c r="U55" s="18">
        <v>91.388343400338371</v>
      </c>
      <c r="V55" s="18">
        <v>16.225748138637051</v>
      </c>
      <c r="W55" s="20">
        <v>42</v>
      </c>
    </row>
    <row r="56" spans="1:23">
      <c r="A56" s="15" t="s">
        <v>140</v>
      </c>
      <c r="B56" s="16" t="s">
        <v>38</v>
      </c>
      <c r="C56" s="17">
        <v>5.6813576261306551</v>
      </c>
      <c r="D56" s="17">
        <v>2.0274076652617508</v>
      </c>
      <c r="E56" s="22">
        <v>2.3076094126497795E-5</v>
      </c>
      <c r="F56" s="17">
        <v>5.5162367700911386</v>
      </c>
      <c r="G56" s="17">
        <v>2.2548286012106664</v>
      </c>
      <c r="H56" s="17">
        <v>3.3462624422178804</v>
      </c>
      <c r="I56" s="17">
        <v>0.43764151700934567</v>
      </c>
      <c r="J56" s="17">
        <v>3.5508214723516516</v>
      </c>
      <c r="K56" s="17">
        <v>7.0986514340347799</v>
      </c>
      <c r="L56" s="17">
        <v>3.27105769925056</v>
      </c>
      <c r="M56" s="17">
        <v>4.2915772113088799</v>
      </c>
      <c r="N56" s="17">
        <v>5.5950131128855203</v>
      </c>
      <c r="O56" s="17">
        <v>0.59905770257850599</v>
      </c>
      <c r="P56" s="17">
        <v>3.3822181992431499</v>
      </c>
      <c r="Q56" s="17">
        <v>6.0125577646274584</v>
      </c>
      <c r="R56" s="17">
        <v>0.19860943129360584</v>
      </c>
      <c r="S56" s="17">
        <v>4.2915772113088799</v>
      </c>
      <c r="T56" s="17">
        <v>0.24011430772233858</v>
      </c>
      <c r="U56" s="18">
        <v>113.24525962371008</v>
      </c>
      <c r="V56" s="18">
        <v>16.364654605673024</v>
      </c>
      <c r="W56" s="20">
        <f t="shared" si="0"/>
        <v>43</v>
      </c>
    </row>
    <row r="57" spans="1:23">
      <c r="A57" s="15" t="s">
        <v>141</v>
      </c>
      <c r="B57" s="16" t="s">
        <v>39</v>
      </c>
      <c r="C57" s="17">
        <v>6.1326269191809333</v>
      </c>
      <c r="D57" s="17">
        <v>1.9009256815522217</v>
      </c>
      <c r="E57" s="22">
        <v>2.1675069084156783E-5</v>
      </c>
      <c r="F57" s="17">
        <v>5.2865089679453163</v>
      </c>
      <c r="G57" s="17">
        <v>2.1894594544423667</v>
      </c>
      <c r="H57" s="17">
        <v>3.6052973734176401</v>
      </c>
      <c r="I57" s="17">
        <v>0.44700534197237851</v>
      </c>
      <c r="J57" s="17">
        <v>3.9405075935254219</v>
      </c>
      <c r="K57" s="17">
        <v>6.8431832483035899</v>
      </c>
      <c r="L57" s="17">
        <v>3.4823941986053399</v>
      </c>
      <c r="M57" s="17">
        <v>4.0353152843129898</v>
      </c>
      <c r="N57" s="17">
        <v>5.4490055937071302</v>
      </c>
      <c r="O57" s="17">
        <v>0.58074320810713298</v>
      </c>
      <c r="P57" s="17">
        <v>3.1703478839226999</v>
      </c>
      <c r="Q57" s="17">
        <v>5.7961762113131403</v>
      </c>
      <c r="R57" s="17">
        <v>0.20359904815766941</v>
      </c>
      <c r="S57" s="17">
        <v>4.0353152843129898</v>
      </c>
      <c r="T57" s="17">
        <v>0.21988455556593361</v>
      </c>
      <c r="U57" s="18">
        <v>106.23584369363945</v>
      </c>
      <c r="V57" s="18">
        <v>14.914466776398591</v>
      </c>
      <c r="W57" s="20">
        <f t="shared" si="0"/>
        <v>44</v>
      </c>
    </row>
    <row r="58" spans="1:23">
      <c r="A58" s="15" t="s">
        <v>142</v>
      </c>
      <c r="B58" s="16" t="s">
        <v>40</v>
      </c>
      <c r="C58" s="17">
        <v>7.8506865001997799</v>
      </c>
      <c r="D58" s="17">
        <v>3.063684968250683</v>
      </c>
      <c r="E58" s="22">
        <v>2.9185857713459138E-5</v>
      </c>
      <c r="F58" s="17">
        <v>4.8089381049669573</v>
      </c>
      <c r="G58" s="17">
        <v>3.0065676087002151</v>
      </c>
      <c r="H58" s="17">
        <v>1.9750520451135112</v>
      </c>
      <c r="I58" s="17">
        <v>0.33065140245077096</v>
      </c>
      <c r="J58" s="17">
        <v>2.0980566860163035</v>
      </c>
      <c r="K58" s="17">
        <v>9.4200463469890803</v>
      </c>
      <c r="L58" s="17">
        <v>1.7696794825811599</v>
      </c>
      <c r="M58" s="17">
        <v>5.4204684359209701</v>
      </c>
      <c r="N58" s="17">
        <v>4.7481686789813802</v>
      </c>
      <c r="O58" s="17">
        <v>0.56525414180813105</v>
      </c>
      <c r="P58" s="17">
        <v>4.8257544639580301</v>
      </c>
      <c r="Q58" s="17">
        <v>7.9787792558997506</v>
      </c>
      <c r="R58" s="17">
        <v>0.14589095807593705</v>
      </c>
      <c r="S58" s="17">
        <v>5.4204684359209701</v>
      </c>
      <c r="T58" s="17">
        <v>0.2573729845284714</v>
      </c>
      <c r="U58" s="18">
        <v>107.31107013365344</v>
      </c>
      <c r="V58" s="18">
        <v>11.219642598751705</v>
      </c>
      <c r="W58" s="20">
        <f t="shared" si="0"/>
        <v>45</v>
      </c>
    </row>
    <row r="59" spans="1:23">
      <c r="A59" s="15" t="s">
        <v>143</v>
      </c>
      <c r="B59" s="16" t="s">
        <v>41</v>
      </c>
      <c r="C59" s="17">
        <v>5.547165198750224</v>
      </c>
      <c r="D59" s="17">
        <v>1.9953812705165244</v>
      </c>
      <c r="E59" s="22">
        <v>1.5648558247677275E-5</v>
      </c>
      <c r="F59" s="17">
        <v>13.265918069008931</v>
      </c>
      <c r="G59" s="17">
        <v>1.3976044752163415</v>
      </c>
      <c r="H59" s="17">
        <v>1.5545963563843168</v>
      </c>
      <c r="I59" s="17">
        <v>0.7125496090139819</v>
      </c>
      <c r="J59" s="17">
        <v>1.6375933072967264</v>
      </c>
      <c r="K59" s="17">
        <v>4.3740813225492596</v>
      </c>
      <c r="L59" s="17">
        <v>1.38664481669197</v>
      </c>
      <c r="M59" s="17">
        <v>2.91993223947222</v>
      </c>
      <c r="N59" s="17">
        <v>13.3396357077426</v>
      </c>
      <c r="O59" s="17">
        <v>0.67027528768997502</v>
      </c>
      <c r="P59" s="17">
        <v>12.389707128717401</v>
      </c>
      <c r="Q59" s="17">
        <v>3.7048468801992227</v>
      </c>
      <c r="R59" s="17">
        <v>5.4126073917019395E-2</v>
      </c>
      <c r="S59" s="17">
        <v>2.91993223947222</v>
      </c>
      <c r="T59" s="17">
        <v>0.38950832365852445</v>
      </c>
      <c r="U59" s="18">
        <v>126.87877896808614</v>
      </c>
      <c r="V59" s="18">
        <v>51.176024034541776</v>
      </c>
      <c r="W59" s="20">
        <f t="shared" si="0"/>
        <v>46</v>
      </c>
    </row>
    <row r="60" spans="1:23">
      <c r="A60" s="15" t="s">
        <v>144</v>
      </c>
      <c r="B60" s="16" t="s">
        <v>42</v>
      </c>
      <c r="C60" s="17">
        <v>5.6194508934005674</v>
      </c>
      <c r="D60" s="17">
        <v>1.2013569410968696</v>
      </c>
      <c r="E60" s="22">
        <v>2.0207562656809936E-5</v>
      </c>
      <c r="F60" s="17">
        <v>4.2884623316669535</v>
      </c>
      <c r="G60" s="17">
        <v>2.1026629841094095</v>
      </c>
      <c r="H60" s="17">
        <v>2.644701749847612</v>
      </c>
      <c r="I60" s="17">
        <v>0.47338962376009308</v>
      </c>
      <c r="J60" s="17">
        <v>2.672417592935544</v>
      </c>
      <c r="K60" s="17">
        <v>6.5924852872058599</v>
      </c>
      <c r="L60" s="17">
        <v>2.30997688316</v>
      </c>
      <c r="M60" s="17">
        <v>3.6433444727679798</v>
      </c>
      <c r="N60" s="17">
        <v>3.1583661089265398</v>
      </c>
      <c r="O60" s="17">
        <v>0.56700070281206005</v>
      </c>
      <c r="P60" s="17">
        <v>2.9455333612673398</v>
      </c>
      <c r="Q60" s="17">
        <v>5.5838350382633628</v>
      </c>
      <c r="R60" s="17">
        <v>0.13151790528971335</v>
      </c>
      <c r="S60" s="17">
        <v>3.6433444727679798</v>
      </c>
      <c r="T60" s="17">
        <v>0.11507015705935221</v>
      </c>
      <c r="U60" s="18">
        <v>91.463586894555888</v>
      </c>
      <c r="V60" s="18">
        <v>7.3502974402578474</v>
      </c>
      <c r="W60" s="20">
        <f t="shared" si="0"/>
        <v>47</v>
      </c>
    </row>
    <row r="61" spans="1:23">
      <c r="A61" s="15" t="s">
        <v>136</v>
      </c>
      <c r="B61" s="16" t="s">
        <v>34</v>
      </c>
      <c r="C61" s="17">
        <v>5.2122294122563346</v>
      </c>
      <c r="D61" s="17">
        <v>1.483752255419716</v>
      </c>
      <c r="E61" s="22">
        <v>1.5641807428854386E-5</v>
      </c>
      <c r="F61" s="17">
        <v>10.577808514199049</v>
      </c>
      <c r="G61" s="17">
        <v>1.2784052848944134</v>
      </c>
      <c r="H61" s="17">
        <v>1.5376035215341206</v>
      </c>
      <c r="I61" s="17">
        <v>0.78055170499181392</v>
      </c>
      <c r="J61" s="17">
        <v>1.5615552887527071</v>
      </c>
      <c r="K61" s="17">
        <v>4.0027095108047304</v>
      </c>
      <c r="L61" s="17">
        <v>1.5109101735733199</v>
      </c>
      <c r="M61" s="17">
        <v>2.9326705299270701</v>
      </c>
      <c r="N61" s="17">
        <v>10.9521060308111</v>
      </c>
      <c r="O61" s="17">
        <v>0.73328885931709997</v>
      </c>
      <c r="P61" s="17">
        <v>10.130515572792699</v>
      </c>
      <c r="Q61" s="17">
        <v>3.3902949556516067</v>
      </c>
      <c r="R61" s="17">
        <v>5.3545730286407592E-2</v>
      </c>
      <c r="S61" s="17">
        <v>2.9326705299270701</v>
      </c>
      <c r="T61" s="17">
        <v>0.3211891859719625</v>
      </c>
      <c r="U61" s="18">
        <v>163.84104712338691</v>
      </c>
      <c r="V61" s="18">
        <v>70.853457550678428</v>
      </c>
      <c r="W61" s="20">
        <f t="shared" si="0"/>
        <v>48</v>
      </c>
    </row>
    <row r="62" spans="1:23">
      <c r="A62" s="19" t="s">
        <v>4</v>
      </c>
      <c r="B62" s="16" t="s">
        <v>75</v>
      </c>
      <c r="C62" s="17">
        <v>6.6961364721256107</v>
      </c>
      <c r="D62" s="17">
        <v>3.1010017371979854</v>
      </c>
      <c r="E62" s="22">
        <v>6.3142096214759765E-5</v>
      </c>
      <c r="F62" s="17">
        <v>28.817097879701347</v>
      </c>
      <c r="G62" s="17">
        <v>3.9373620981283941</v>
      </c>
      <c r="H62" s="17">
        <v>20.066691257148118</v>
      </c>
      <c r="I62" s="17">
        <v>0.26007372868471884</v>
      </c>
      <c r="J62" s="17">
        <v>14.180980748865396</v>
      </c>
      <c r="K62" s="17">
        <v>11.615972378904599</v>
      </c>
      <c r="L62" s="17">
        <v>14.404637728430201</v>
      </c>
      <c r="M62" s="17">
        <v>12.0751996387981</v>
      </c>
      <c r="N62" s="17">
        <v>29.872613501494399</v>
      </c>
      <c r="O62" s="17">
        <v>0.92934236035396101</v>
      </c>
      <c r="P62" s="17">
        <v>3.7355807127843201</v>
      </c>
      <c r="Q62" s="17">
        <v>10.152359859162621</v>
      </c>
      <c r="R62" s="17">
        <v>1.4630620992554684</v>
      </c>
      <c r="S62" s="17">
        <v>12.0751996387981</v>
      </c>
      <c r="T62" s="17">
        <v>3.6071777176320041</v>
      </c>
      <c r="U62" s="18" t="s">
        <v>153</v>
      </c>
      <c r="V62" s="18" t="s">
        <v>153</v>
      </c>
      <c r="W62" s="18"/>
    </row>
    <row r="63" spans="1:23">
      <c r="A63" s="19" t="s">
        <v>5</v>
      </c>
      <c r="B63" s="16" t="s">
        <v>76</v>
      </c>
      <c r="C63" s="17">
        <v>6.4996634784214402</v>
      </c>
      <c r="D63" s="17">
        <v>2.5321246418016323</v>
      </c>
      <c r="E63" s="22">
        <v>6.1608463978457214E-5</v>
      </c>
      <c r="F63" s="17">
        <v>2.7819721001478941</v>
      </c>
      <c r="G63" s="17">
        <v>4.1886091396128009</v>
      </c>
      <c r="H63" s="17">
        <v>3.5456331260450678</v>
      </c>
      <c r="I63" s="17">
        <v>0.23895898104785004</v>
      </c>
      <c r="J63" s="17">
        <v>3.6174057023519701</v>
      </c>
      <c r="K63" s="17">
        <v>13.1255860654682</v>
      </c>
      <c r="L63" s="17">
        <v>3.4180193475350999</v>
      </c>
      <c r="M63" s="17">
        <v>11.435841082876401</v>
      </c>
      <c r="N63" s="17">
        <v>2.9416331647727398</v>
      </c>
      <c r="O63" s="17">
        <v>0.87140201822733998</v>
      </c>
      <c r="P63" s="17">
        <v>2.83086501930363</v>
      </c>
      <c r="Q63" s="17">
        <v>11.471762221219207</v>
      </c>
      <c r="R63" s="17">
        <v>0.39519773401097791</v>
      </c>
      <c r="S63" s="17">
        <v>11.435841082876401</v>
      </c>
      <c r="T63" s="17">
        <v>0.33640049396459826</v>
      </c>
      <c r="U63" s="18" t="s">
        <v>153</v>
      </c>
      <c r="V63" s="18" t="s">
        <v>153</v>
      </c>
      <c r="W63" s="18"/>
    </row>
    <row r="64" spans="1:23">
      <c r="A64" s="19" t="s">
        <v>6</v>
      </c>
      <c r="B64" s="16" t="s">
        <v>77</v>
      </c>
      <c r="C64" s="17">
        <v>6.0952762032105579</v>
      </c>
      <c r="D64" s="17">
        <v>3.1803550606400757</v>
      </c>
      <c r="E64" s="22">
        <v>5.9416539367817568E-5</v>
      </c>
      <c r="F64" s="17">
        <v>6.0869039878768518</v>
      </c>
      <c r="G64" s="17">
        <v>4.1807263167061084</v>
      </c>
      <c r="H64" s="17">
        <v>4.0575284277776591</v>
      </c>
      <c r="I64" s="17">
        <v>0.23876214190429632</v>
      </c>
      <c r="J64" s="17">
        <v>4.5771830323636928</v>
      </c>
      <c r="K64" s="17">
        <v>13.007279917196101</v>
      </c>
      <c r="L64" s="17">
        <v>3.3523048266102</v>
      </c>
      <c r="M64" s="17">
        <v>11.054662516257199</v>
      </c>
      <c r="N64" s="17">
        <v>6.08548471727884</v>
      </c>
      <c r="O64" s="17">
        <v>0.85393116048929396</v>
      </c>
      <c r="P64" s="17">
        <v>4.3224910315079699</v>
      </c>
      <c r="Q64" s="17">
        <v>11.368362647629391</v>
      </c>
      <c r="R64" s="17">
        <v>0.3842245505794516</v>
      </c>
      <c r="S64" s="17">
        <v>11.054662516257199</v>
      </c>
      <c r="T64" s="17">
        <v>0.67272979797358434</v>
      </c>
      <c r="U64" s="18" t="s">
        <v>153</v>
      </c>
      <c r="V64" s="18" t="s">
        <v>153</v>
      </c>
      <c r="W64" s="18"/>
    </row>
    <row r="65" spans="1:23">
      <c r="A65" s="19" t="s">
        <v>7</v>
      </c>
      <c r="B65" s="16" t="s">
        <v>78</v>
      </c>
      <c r="C65" s="17">
        <v>6.7270133547500919</v>
      </c>
      <c r="D65" s="17">
        <v>1.7657578633512556</v>
      </c>
      <c r="E65" s="22">
        <v>1.5245891810703287E-4</v>
      </c>
      <c r="F65" s="17">
        <v>20.558017694629292</v>
      </c>
      <c r="G65" s="17">
        <v>9.3692226289260692</v>
      </c>
      <c r="H65" s="17">
        <v>19.664384264861496</v>
      </c>
      <c r="I65" s="17">
        <v>6.7682733535336742E-2</v>
      </c>
      <c r="J65" s="17">
        <v>23.233975336417338</v>
      </c>
      <c r="K65" s="17">
        <v>29.6991756710175</v>
      </c>
      <c r="L65" s="17">
        <v>18.5460156054401</v>
      </c>
      <c r="M65" s="17">
        <v>29.079198653734899</v>
      </c>
      <c r="N65" s="17">
        <v>21.238878551068201</v>
      </c>
      <c r="O65" s="17">
        <v>0.88630529899014299</v>
      </c>
      <c r="P65" s="17">
        <v>4.2642244140616903</v>
      </c>
      <c r="Q65" s="17">
        <v>25.957079536469294</v>
      </c>
      <c r="R65" s="17">
        <v>4.8152977816947979</v>
      </c>
      <c r="S65" s="17">
        <v>29.079198653734899</v>
      </c>
      <c r="T65" s="17">
        <v>6.1760956856906137</v>
      </c>
      <c r="U65" s="18" t="s">
        <v>153</v>
      </c>
      <c r="V65" s="18" t="s">
        <v>153</v>
      </c>
      <c r="W65" s="18"/>
    </row>
    <row r="66" spans="1:23">
      <c r="A66" s="15" t="s">
        <v>8</v>
      </c>
      <c r="B66" s="16" t="s">
        <v>79</v>
      </c>
      <c r="C66" s="17">
        <v>6.3405921669724643</v>
      </c>
      <c r="D66" s="17">
        <v>1.0388898969466689</v>
      </c>
      <c r="E66" s="22">
        <v>1.2953118761840934E-5</v>
      </c>
      <c r="F66" s="17">
        <v>10.080061697451638</v>
      </c>
      <c r="G66" s="17">
        <v>1.236108729277654</v>
      </c>
      <c r="H66" s="17">
        <v>1.4958404892921329</v>
      </c>
      <c r="I66" s="17">
        <v>0.80611504588799632</v>
      </c>
      <c r="J66" s="17">
        <v>1.5893585105930439</v>
      </c>
      <c r="K66" s="17">
        <v>3.8711219621432198</v>
      </c>
      <c r="L66" s="17">
        <v>1.20804423625769</v>
      </c>
      <c r="M66" s="17">
        <v>2.4078937279631498</v>
      </c>
      <c r="N66" s="17">
        <v>10.0688850511824</v>
      </c>
      <c r="O66" s="17">
        <v>0.60730865113535104</v>
      </c>
      <c r="P66" s="17">
        <v>11.7422263202285</v>
      </c>
      <c r="Q66" s="17">
        <v>3.383360594913174</v>
      </c>
      <c r="R66" s="17">
        <v>4.338453721978229E-2</v>
      </c>
      <c r="S66" s="17">
        <v>2.4078937279631498</v>
      </c>
      <c r="T66" s="17">
        <v>0.24244805162324023</v>
      </c>
      <c r="U66" s="18">
        <v>92.849472640138131</v>
      </c>
      <c r="V66" s="18">
        <v>24.958511181805314</v>
      </c>
      <c r="W66" s="20">
        <v>49</v>
      </c>
    </row>
    <row r="67" spans="1:23">
      <c r="A67" s="15" t="s">
        <v>9</v>
      </c>
      <c r="B67" s="16" t="s">
        <v>80</v>
      </c>
      <c r="C67" s="17">
        <v>6.0453043469692807</v>
      </c>
      <c r="D67" s="17">
        <v>1.5445597414686345</v>
      </c>
      <c r="E67" s="22">
        <v>2.1792015036879322E-5</v>
      </c>
      <c r="F67" s="17">
        <v>4.5878883744563677</v>
      </c>
      <c r="G67" s="17">
        <v>2.174615817021492</v>
      </c>
      <c r="H67" s="17">
        <v>4.2534602789598477</v>
      </c>
      <c r="I67" s="17">
        <v>0.4471947268411432</v>
      </c>
      <c r="J67" s="17">
        <v>5.0329088810761249</v>
      </c>
      <c r="K67" s="17">
        <v>6.7724889182197101</v>
      </c>
      <c r="L67" s="17">
        <v>3.8514124779035499</v>
      </c>
      <c r="M67" s="17">
        <v>4.0576956162733202</v>
      </c>
      <c r="N67" s="17">
        <v>4.7465995154496703</v>
      </c>
      <c r="O67" s="17">
        <v>0.58958289615180004</v>
      </c>
      <c r="P67" s="17">
        <v>3.00070206849733</v>
      </c>
      <c r="Q67" s="17">
        <v>5.9191553145240263</v>
      </c>
      <c r="R67" s="17">
        <v>0.22938753072049553</v>
      </c>
      <c r="S67" s="17">
        <v>4.0576956162733202</v>
      </c>
      <c r="T67" s="17">
        <v>0.19260256046045193</v>
      </c>
      <c r="U67" s="18">
        <v>103.1972890404496</v>
      </c>
      <c r="V67" s="18">
        <v>13.275853242263082</v>
      </c>
      <c r="W67" s="20">
        <f t="shared" si="0"/>
        <v>50</v>
      </c>
    </row>
    <row r="68" spans="1:23">
      <c r="A68" s="15" t="s">
        <v>10</v>
      </c>
      <c r="B68" s="16" t="s">
        <v>81</v>
      </c>
      <c r="C68" s="17">
        <v>6.4721130109928628</v>
      </c>
      <c r="D68" s="17">
        <v>1.6802773837103588</v>
      </c>
      <c r="E68" s="22">
        <v>1.822593203936474E-5</v>
      </c>
      <c r="F68" s="17">
        <v>5.5495400970910334</v>
      </c>
      <c r="G68" s="17">
        <v>1.7470473083755149</v>
      </c>
      <c r="H68" s="17">
        <v>3.5516235402293832</v>
      </c>
      <c r="I68" s="17">
        <v>0.56403465796510854</v>
      </c>
      <c r="J68" s="17">
        <v>3.7739712411270556</v>
      </c>
      <c r="K68" s="17">
        <v>5.4482046653041198</v>
      </c>
      <c r="L68" s="17">
        <v>3.35265605942211</v>
      </c>
      <c r="M68" s="17">
        <v>3.38505159091698</v>
      </c>
      <c r="N68" s="17">
        <v>5.6518090587979799</v>
      </c>
      <c r="O68" s="17">
        <v>0.62344506007383704</v>
      </c>
      <c r="P68" s="17">
        <v>5.54311495280486</v>
      </c>
      <c r="Q68" s="17">
        <v>4.7617308774758005</v>
      </c>
      <c r="R68" s="17">
        <v>0.1609521574299782</v>
      </c>
      <c r="S68" s="17">
        <v>3.38505159091698</v>
      </c>
      <c r="T68" s="17">
        <v>0.191316652460431</v>
      </c>
      <c r="U68" s="18">
        <v>105.77265587259585</v>
      </c>
      <c r="V68" s="18">
        <v>15.988661164700432</v>
      </c>
      <c r="W68" s="20">
        <f t="shared" si="0"/>
        <v>51</v>
      </c>
    </row>
    <row r="69" spans="1:23">
      <c r="A69" s="19" t="s">
        <v>11</v>
      </c>
      <c r="B69" s="16" t="s">
        <v>82</v>
      </c>
      <c r="C69" s="17">
        <v>6.736842198022047</v>
      </c>
      <c r="D69" s="17">
        <v>1.9673960869825389</v>
      </c>
      <c r="E69" s="22">
        <v>7.8398217413076004E-5</v>
      </c>
      <c r="F69" s="17">
        <v>11.906315132498655</v>
      </c>
      <c r="G69" s="17">
        <v>4.8654155636705871</v>
      </c>
      <c r="H69" s="17">
        <v>12.679387274996229</v>
      </c>
      <c r="I69" s="17">
        <v>0.19240015966120266</v>
      </c>
      <c r="J69" s="17">
        <v>12.818819239598374</v>
      </c>
      <c r="K69" s="17">
        <v>15.3212334528837</v>
      </c>
      <c r="L69" s="17">
        <v>12.022962825975</v>
      </c>
      <c r="M69" s="17">
        <v>14.5122327347244</v>
      </c>
      <c r="N69" s="17">
        <v>11.990661538768901</v>
      </c>
      <c r="O69" s="17">
        <v>0.87184172215367395</v>
      </c>
      <c r="P69" s="17">
        <v>1.3090741330918301</v>
      </c>
      <c r="Q69" s="17">
        <v>13.390758037820353</v>
      </c>
      <c r="R69" s="17">
        <v>1.6109952079034002</v>
      </c>
      <c r="S69" s="17">
        <v>14.5122327347244</v>
      </c>
      <c r="T69" s="17">
        <v>1.740112708939229</v>
      </c>
      <c r="U69" s="18" t="s">
        <v>153</v>
      </c>
      <c r="V69" s="18" t="s">
        <v>153</v>
      </c>
      <c r="W69" s="18"/>
    </row>
    <row r="70" spans="1:23">
      <c r="A70" s="19" t="s">
        <v>12</v>
      </c>
      <c r="B70" s="16" t="s">
        <v>83</v>
      </c>
      <c r="C70" s="17">
        <v>6.3180796689458116</v>
      </c>
      <c r="D70" s="17">
        <v>1.3381229927205673</v>
      </c>
      <c r="E70" s="22">
        <v>4.9822269519856518E-5</v>
      </c>
      <c r="F70" s="17">
        <v>17.308683535228138</v>
      </c>
      <c r="G70" s="17">
        <v>3.0612543056465569</v>
      </c>
      <c r="H70" s="17">
        <v>19.508761434422066</v>
      </c>
      <c r="I70" s="17">
        <v>0.24347541257093699</v>
      </c>
      <c r="J70" s="17">
        <v>12.69830876622448</v>
      </c>
      <c r="K70" s="17">
        <v>10.546261756117</v>
      </c>
      <c r="L70" s="17">
        <v>15.8825058316799</v>
      </c>
      <c r="M70" s="17">
        <v>9.2942470622606201</v>
      </c>
      <c r="N70" s="17">
        <v>17.4496635048976</v>
      </c>
      <c r="O70" s="17">
        <v>0.84239452038673002</v>
      </c>
      <c r="P70" s="17">
        <v>3.2805833921046901</v>
      </c>
      <c r="Q70" s="17">
        <v>9.217432774846257</v>
      </c>
      <c r="R70" s="17">
        <v>1.4644957344824852</v>
      </c>
      <c r="S70" s="17">
        <v>9.2942470622606201</v>
      </c>
      <c r="T70" s="17">
        <v>1.6218148376783088</v>
      </c>
      <c r="U70" s="18" t="s">
        <v>153</v>
      </c>
      <c r="V70" s="18" t="s">
        <v>153</v>
      </c>
      <c r="W70" s="18"/>
    </row>
    <row r="71" spans="1:23">
      <c r="A71" s="15" t="s">
        <v>13</v>
      </c>
      <c r="B71" s="16" t="s">
        <v>84</v>
      </c>
      <c r="C71" s="17">
        <v>6.4930449619027941</v>
      </c>
      <c r="D71" s="17">
        <v>1.1989677059554587</v>
      </c>
      <c r="E71" s="22">
        <v>2.1908076997058808E-5</v>
      </c>
      <c r="F71" s="17">
        <v>4.3160699588902425</v>
      </c>
      <c r="G71" s="17">
        <v>1.9301577517001816</v>
      </c>
      <c r="H71" s="17">
        <v>2.0600419228350004</v>
      </c>
      <c r="I71" s="17">
        <v>0.5152251912611161</v>
      </c>
      <c r="J71" s="17">
        <v>2.3251808953653148</v>
      </c>
      <c r="K71" s="17">
        <v>6.0750152758034197</v>
      </c>
      <c r="L71" s="17">
        <v>1.2182702857972301</v>
      </c>
      <c r="M71" s="17">
        <v>4.0535839693440501</v>
      </c>
      <c r="N71" s="17">
        <v>4.3297826383142297</v>
      </c>
      <c r="O71" s="17">
        <v>0.66891322247377805</v>
      </c>
      <c r="P71" s="17">
        <v>4.3747960609286798</v>
      </c>
      <c r="Q71" s="17">
        <v>5.3095633510521889</v>
      </c>
      <c r="R71" s="17">
        <v>6.8595828739434275E-2</v>
      </c>
      <c r="S71" s="17">
        <v>4.0535839693440501</v>
      </c>
      <c r="T71" s="17">
        <v>0.17551137493414751</v>
      </c>
      <c r="U71" s="18">
        <v>129.26438606498078</v>
      </c>
      <c r="V71" s="18">
        <v>14.669764548509512</v>
      </c>
      <c r="W71" s="20">
        <v>52</v>
      </c>
    </row>
    <row r="72" spans="1:23">
      <c r="A72" s="19" t="s">
        <v>14</v>
      </c>
      <c r="B72" s="16" t="s">
        <v>85</v>
      </c>
      <c r="C72" s="17">
        <v>4.3497258538640082</v>
      </c>
      <c r="D72" s="17">
        <v>1.6622022043390674</v>
      </c>
      <c r="E72" s="22">
        <v>2.4432651304147532E-5</v>
      </c>
      <c r="F72" s="17">
        <v>10.479425976480972</v>
      </c>
      <c r="G72" s="17">
        <v>1.5531786612709699</v>
      </c>
      <c r="H72" s="17">
        <v>4.7488618696833251</v>
      </c>
      <c r="I72" s="17">
        <v>0.62421032662690501</v>
      </c>
      <c r="J72" s="17">
        <v>5.1424008300299899</v>
      </c>
      <c r="K72" s="17">
        <v>4.8528638916285303</v>
      </c>
      <c r="L72" s="17">
        <v>3.25862861474315</v>
      </c>
      <c r="M72" s="17">
        <v>4.5566830508815297</v>
      </c>
      <c r="N72" s="17">
        <v>10.8318110610284</v>
      </c>
      <c r="O72" s="17">
        <v>0.93463460675592103</v>
      </c>
      <c r="P72" s="17">
        <v>7.3378538555698798</v>
      </c>
      <c r="Q72" s="17">
        <v>4.241403041283335</v>
      </c>
      <c r="R72" s="17">
        <v>0.13940970127154015</v>
      </c>
      <c r="S72" s="17">
        <v>4.5566830508815297</v>
      </c>
      <c r="T72" s="17">
        <v>0.49357129872139188</v>
      </c>
      <c r="U72" s="18" t="s">
        <v>153</v>
      </c>
      <c r="V72" s="18" t="s">
        <v>153</v>
      </c>
      <c r="W72" s="18"/>
    </row>
    <row r="73" spans="1:23">
      <c r="A73" s="15" t="s">
        <v>15</v>
      </c>
      <c r="B73" s="16" t="s">
        <v>86</v>
      </c>
      <c r="C73" s="17">
        <v>6.4298363819473332</v>
      </c>
      <c r="D73" s="17">
        <v>2.2130598659791501</v>
      </c>
      <c r="E73" s="22">
        <v>2.8884393556538981E-5</v>
      </c>
      <c r="F73" s="17">
        <v>7.0871365403092721</v>
      </c>
      <c r="G73" s="17">
        <v>2.7687281543240374</v>
      </c>
      <c r="H73" s="17">
        <v>0.95708024351875509</v>
      </c>
      <c r="I73" s="17">
        <v>0.36064552405791345</v>
      </c>
      <c r="J73" s="17">
        <v>0.97678820567777724</v>
      </c>
      <c r="K73" s="17">
        <v>8.6739137870267093</v>
      </c>
      <c r="L73" s="17">
        <v>0.89412664833317801</v>
      </c>
      <c r="M73" s="17">
        <v>5.3561524039689399</v>
      </c>
      <c r="N73" s="17">
        <v>7.2333169174062997</v>
      </c>
      <c r="O73" s="17">
        <v>0.62016287412461002</v>
      </c>
      <c r="P73" s="17">
        <v>6.9928562723890604</v>
      </c>
      <c r="Q73" s="17">
        <v>7.5810006498613438</v>
      </c>
      <c r="R73" s="17">
        <v>7.5214930068735877E-2</v>
      </c>
      <c r="S73" s="17">
        <v>5.3561524039689399</v>
      </c>
      <c r="T73" s="17">
        <v>0.38742747795834959</v>
      </c>
      <c r="U73" s="18">
        <v>115.61654002717887</v>
      </c>
      <c r="V73" s="18">
        <v>18.428937789769847</v>
      </c>
      <c r="W73" s="20">
        <v>53</v>
      </c>
    </row>
    <row r="74" spans="1:23">
      <c r="A74" s="11"/>
      <c r="B74" s="7"/>
      <c r="C74" s="12"/>
      <c r="D74" s="13"/>
      <c r="E74" s="13"/>
      <c r="F74" s="13"/>
      <c r="G74" s="12"/>
      <c r="H74" s="13"/>
      <c r="I74" s="14"/>
      <c r="J74" s="13"/>
      <c r="K74" s="12"/>
      <c r="L74" s="13"/>
      <c r="M74" s="12"/>
      <c r="N74" s="13"/>
      <c r="O74" s="14"/>
      <c r="P74" s="13"/>
      <c r="Q74" s="12"/>
      <c r="R74" s="14"/>
      <c r="S74" s="12"/>
      <c r="T74" s="14"/>
      <c r="U74" s="7"/>
    </row>
    <row r="75" spans="1:23" ht="17.399999999999999">
      <c r="A75" s="21" t="s">
        <v>161</v>
      </c>
      <c r="B75" s="6"/>
      <c r="C75" s="7"/>
      <c r="D75" s="7"/>
      <c r="E75" s="7"/>
      <c r="F75" s="7"/>
      <c r="G75" s="7"/>
      <c r="H75" s="7"/>
      <c r="I75" s="12"/>
      <c r="J75" s="7"/>
      <c r="K75" s="7"/>
      <c r="L75" s="7"/>
      <c r="M75" s="12"/>
      <c r="N75" s="7"/>
      <c r="O75" s="14"/>
      <c r="P75" s="7"/>
      <c r="Q75" s="7"/>
      <c r="R75" s="7"/>
      <c r="S75" s="7"/>
      <c r="T75" s="7"/>
      <c r="U75" s="7"/>
    </row>
    <row r="76" spans="1:23">
      <c r="A76" s="21" t="s">
        <v>2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12"/>
      <c r="N76" s="7"/>
      <c r="O76" s="14"/>
      <c r="P76" s="7"/>
      <c r="Q76" s="7"/>
      <c r="R76" s="7"/>
      <c r="S76" s="7"/>
      <c r="T76" s="7"/>
      <c r="U76" s="7"/>
    </row>
    <row r="77" spans="1:23">
      <c r="A77" s="23" t="s">
        <v>155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2"/>
      <c r="N77" s="7"/>
      <c r="O77" s="14"/>
      <c r="P77" s="7"/>
      <c r="Q77" s="7"/>
      <c r="R77" s="7"/>
      <c r="S77" s="7"/>
      <c r="T77" s="7"/>
      <c r="U77" s="7"/>
    </row>
    <row r="78" spans="1:23">
      <c r="A78" s="24" t="s">
        <v>154</v>
      </c>
    </row>
  </sheetData>
  <sortState xmlns:xlrd2="http://schemas.microsoft.com/office/spreadsheetml/2017/richdata2" ref="A3:U60">
    <sortCondition ref="A3:A60"/>
  </sortState>
  <phoneticPr fontId="1" type="noConversion"/>
  <conditionalFormatting sqref="A14:D51 G14:P51">
    <cfRule type="expression" dxfId="2" priority="4" stopIfTrue="1">
      <formula>ISERROR(A14)</formula>
    </cfRule>
  </conditionalFormatting>
  <conditionalFormatting sqref="A3:P3 A4:D9 G4:P9">
    <cfRule type="expression" dxfId="1" priority="8" stopIfTrue="1">
      <formula>ISERROR(A3)</formula>
    </cfRule>
  </conditionalFormatting>
  <conditionalFormatting sqref="E4:F73">
    <cfRule type="expression" dxfId="0" priority="1" stopIfTrue="1">
      <formula>ISERROR(E4)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Zircon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</dc:creator>
  <cp:lastModifiedBy>Alec Baudry</cp:lastModifiedBy>
  <dcterms:created xsi:type="dcterms:W3CDTF">2018-09-13T20:27:11Z</dcterms:created>
  <dcterms:modified xsi:type="dcterms:W3CDTF">2024-10-14T19:04:31Z</dcterms:modified>
</cp:coreProperties>
</file>