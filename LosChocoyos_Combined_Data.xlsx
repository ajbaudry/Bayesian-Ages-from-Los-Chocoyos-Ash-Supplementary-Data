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Alec Baudry\Documents\Research\Senior Thesis(Atitlan)\Publication Reviews\EPSL Review\Bayesian_Code\"/>
    </mc:Choice>
  </mc:AlternateContent>
  <xr:revisionPtr revIDLastSave="0" documentId="13_ncr:1_{B23130C1-E560-4976-A9A2-BFDD6EA18934}" xr6:coauthVersionLast="47" xr6:coauthVersionMax="47" xr10:uidLastSave="{00000000-0000-0000-0000-000000000000}"/>
  <bookViews>
    <workbookView xWindow="-108" yWindow="-108" windowWidth="23256" windowHeight="12456" xr2:uid="{E8C803B2-8E8B-4EC6-A6AA-F765D6CB0750}"/>
  </bookViews>
  <sheets>
    <sheet name="Sheet1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5" l="1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4" i="5"/>
</calcChain>
</file>

<file path=xl/sharedStrings.xml><?xml version="1.0" encoding="utf-8"?>
<sst xmlns="http://schemas.openxmlformats.org/spreadsheetml/2006/main" count="12" uniqueCount="12">
  <si>
    <t>Age (ka)</t>
  </si>
  <si>
    <t>± 1σ</t>
    <phoneticPr fontId="0" type="noConversion"/>
  </si>
  <si>
    <t>± 2σ</t>
  </si>
  <si>
    <t>Age (ka)2</t>
  </si>
  <si>
    <t>± 1σ3</t>
  </si>
  <si>
    <t>± 2σ3</t>
  </si>
  <si>
    <t>± 2σ2</t>
  </si>
  <si>
    <t>Baudry (U-Th)</t>
  </si>
  <si>
    <t>Cisneros (U-Th)</t>
  </si>
  <si>
    <r>
      <t>Baudry (</t>
    </r>
    <r>
      <rPr>
        <vertAlign val="superscript"/>
        <sz val="12"/>
        <color theme="0"/>
        <rFont val="Arial"/>
        <family val="2"/>
      </rPr>
      <t>40</t>
    </r>
    <r>
      <rPr>
        <sz val="12"/>
        <color theme="0"/>
        <rFont val="Arial"/>
        <family val="2"/>
      </rPr>
      <t>Ar/</t>
    </r>
    <r>
      <rPr>
        <vertAlign val="superscript"/>
        <sz val="12"/>
        <color theme="0"/>
        <rFont val="Arial"/>
        <family val="2"/>
      </rPr>
      <t>39</t>
    </r>
    <r>
      <rPr>
        <sz val="12"/>
        <color theme="0"/>
        <rFont val="Arial"/>
        <family val="2"/>
      </rPr>
      <t>Ar)</t>
    </r>
  </si>
  <si>
    <t>± 1σ2</t>
  </si>
  <si>
    <t>Age (ka)3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</si>
</sst>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0"/>
      <name val="Arial"/>
      <family val="2"/>
    </font>
    <font>
      <b/>
      <sz val="12"/>
      <color theme="0"/>
      <name val="Arial"/>
      <family val="2"/>
    </font>
    <font>
      <vertAlign val="superscript"/>
      <sz val="12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2"/>
        <bgColor indexed="64"/>
      </patternFill>
    </fill>
  </fills>
  <borders count="21">
    <border>
      <left/>
      <right/>
      <top/>
      <bottom/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  <border>
      <left/>
      <right style="thin">
        <color theme="0"/>
      </right>
      <top style="thin">
        <color theme="6"/>
      </top>
      <bottom/>
      <diagonal/>
    </border>
    <border>
      <left style="thin">
        <color theme="0"/>
      </left>
      <right/>
      <top style="thin">
        <color theme="6"/>
      </top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medium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 style="medium">
        <color theme="6"/>
      </right>
      <top style="thin">
        <color theme="6"/>
      </top>
      <bottom style="thin">
        <color theme="6"/>
      </bottom>
      <diagonal/>
    </border>
    <border>
      <left style="medium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 style="thin">
        <color theme="6"/>
      </left>
      <right style="medium">
        <color theme="6"/>
      </right>
      <top style="thin">
        <color theme="6"/>
      </top>
      <bottom style="medium">
        <color theme="6"/>
      </bottom>
      <diagonal/>
    </border>
    <border>
      <left style="medium">
        <color theme="6"/>
      </left>
      <right style="thin">
        <color theme="6"/>
      </right>
      <top/>
      <bottom style="thin">
        <color theme="6"/>
      </bottom>
      <diagonal/>
    </border>
    <border>
      <left style="thin">
        <color theme="6"/>
      </left>
      <right style="thin">
        <color theme="6"/>
      </right>
      <top/>
      <bottom style="thin">
        <color theme="6"/>
      </bottom>
      <diagonal/>
    </border>
    <border>
      <left style="thin">
        <color theme="6"/>
      </left>
      <right style="medium">
        <color theme="6"/>
      </right>
      <top/>
      <bottom style="thin">
        <color theme="6"/>
      </bottom>
      <diagonal/>
    </border>
    <border>
      <left style="medium">
        <color theme="6"/>
      </left>
      <right style="thin">
        <color theme="0"/>
      </right>
      <top/>
      <bottom style="medium">
        <color theme="6"/>
      </bottom>
      <diagonal/>
    </border>
    <border>
      <left style="thin">
        <color theme="0"/>
      </left>
      <right style="thin">
        <color theme="0"/>
      </right>
      <top/>
      <bottom style="medium">
        <color theme="6"/>
      </bottom>
      <diagonal/>
    </border>
    <border>
      <left style="thin">
        <color theme="0"/>
      </left>
      <right style="medium">
        <color theme="6"/>
      </right>
      <top/>
      <bottom style="medium">
        <color theme="6"/>
      </bottom>
      <diagonal/>
    </border>
    <border>
      <left style="thin">
        <color theme="6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thin">
        <color theme="0"/>
      </right>
      <top/>
      <bottom style="medium">
        <color theme="0"/>
      </bottom>
      <diagonal/>
    </border>
    <border>
      <left style="thin">
        <color theme="0"/>
      </left>
      <right/>
      <top/>
      <bottom style="medium">
        <color theme="0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168" fontId="1" fillId="3" borderId="11" xfId="0" applyNumberFormat="1" applyFont="1" applyFill="1" applyBorder="1"/>
    <xf numFmtId="168" fontId="0" fillId="3" borderId="12" xfId="0" applyNumberFormat="1" applyFill="1" applyBorder="1"/>
    <xf numFmtId="168" fontId="1" fillId="3" borderId="12" xfId="1" applyNumberFormat="1" applyFill="1" applyBorder="1"/>
    <xf numFmtId="168" fontId="0" fillId="3" borderId="13" xfId="0" applyNumberFormat="1" applyFill="1" applyBorder="1"/>
    <xf numFmtId="168" fontId="1" fillId="3" borderId="6" xfId="0" applyNumberFormat="1" applyFont="1" applyFill="1" applyBorder="1"/>
    <xf numFmtId="168" fontId="0" fillId="3" borderId="5" xfId="0" applyNumberFormat="1" applyFill="1" applyBorder="1"/>
    <xf numFmtId="168" fontId="1" fillId="3" borderId="5" xfId="1" applyNumberFormat="1" applyFill="1" applyBorder="1"/>
    <xf numFmtId="168" fontId="0" fillId="3" borderId="7" xfId="0" applyNumberFormat="1" applyFill="1" applyBorder="1"/>
    <xf numFmtId="168" fontId="0" fillId="3" borderId="6" xfId="0" applyNumberFormat="1" applyFill="1" applyBorder="1"/>
    <xf numFmtId="168" fontId="0" fillId="3" borderId="8" xfId="0" applyNumberFormat="1" applyFill="1" applyBorder="1"/>
    <xf numFmtId="168" fontId="0" fillId="3" borderId="9" xfId="0" applyNumberFormat="1" applyFill="1" applyBorder="1"/>
    <xf numFmtId="168" fontId="1" fillId="3" borderId="9" xfId="1" applyNumberFormat="1" applyFill="1" applyBorder="1"/>
    <xf numFmtId="168" fontId="0" fillId="3" borderId="10" xfId="0" applyNumberFormat="1" applyFill="1" applyBorder="1"/>
    <xf numFmtId="0" fontId="2" fillId="2" borderId="20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7ED9D5F4-F310-444D-AA56-289F1342DEA6}"/>
  </cellStyles>
  <dxfs count="12">
    <dxf>
      <numFmt numFmtId="168" formatCode="0.000"/>
      <fill>
        <patternFill>
          <fgColor indexed="64"/>
          <bgColor theme="2"/>
        </patternFill>
      </fill>
    </dxf>
    <dxf>
      <numFmt numFmtId="168" formatCode="0.000"/>
      <fill>
        <patternFill>
          <fgColor indexed="64"/>
          <bgColor theme="2"/>
        </patternFill>
      </fill>
      <border diagonalUp="0" diagonalDown="0" outline="0">
        <left style="thin">
          <color theme="6"/>
        </left>
        <right style="medium">
          <color theme="6"/>
        </right>
        <top style="thin">
          <color theme="6"/>
        </top>
        <bottom style="thin">
          <color theme="6"/>
        </bottom>
      </border>
    </dxf>
    <dxf>
      <numFmt numFmtId="168" formatCode="0.000"/>
      <fill>
        <patternFill>
          <fgColor indexed="64"/>
          <bgColor theme="2"/>
        </patternFill>
      </fill>
      <border diagonalUp="0" diagonalDown="0"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numFmt numFmtId="168" formatCode="0.000"/>
      <fill>
        <patternFill>
          <fgColor indexed="64"/>
          <bgColor theme="2"/>
        </patternFill>
      </fill>
      <border diagonalUp="0" diagonalDown="0"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numFmt numFmtId="168" formatCode="0.000"/>
      <fill>
        <patternFill patternType="solid">
          <fgColor indexed="64"/>
          <bgColor theme="2"/>
        </patternFill>
      </fill>
      <border diagonalUp="0" diagonalDown="0"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numFmt numFmtId="168" formatCode="0.000"/>
      <fill>
        <patternFill>
          <fgColor indexed="64"/>
          <bgColor theme="2"/>
        </patternFill>
      </fill>
      <border diagonalUp="0" diagonalDown="0"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numFmt numFmtId="168" formatCode="0.000"/>
      <fill>
        <patternFill patternType="solid">
          <fgColor indexed="64"/>
          <bgColor theme="2"/>
        </patternFill>
      </fill>
      <border diagonalUp="0" diagonalDown="0"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numFmt numFmtId="168" formatCode="0.000"/>
      <fill>
        <patternFill>
          <fgColor indexed="64"/>
          <bgColor theme="2"/>
        </patternFill>
      </fill>
      <border diagonalUp="0" diagonalDown="0"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numFmt numFmtId="168" formatCode="0.000"/>
      <fill>
        <patternFill>
          <fgColor indexed="64"/>
          <bgColor theme="2"/>
        </patternFill>
      </fill>
      <border diagonalUp="0" diagonalDown="0"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numFmt numFmtId="168" formatCode="0.000"/>
      <fill>
        <patternFill>
          <fgColor indexed="64"/>
          <bgColor theme="2"/>
        </patternFill>
      </fill>
      <border diagonalUp="0" diagonalDown="0" outline="0">
        <left style="medium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solid">
          <fgColor indexed="64"/>
          <bgColor theme="6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/>
      </border>
    </dxf>
    <dxf>
      <border>
        <bottom style="medium">
          <color theme="6"/>
        </bottom>
      </border>
    </dxf>
  </dxfs>
  <tableStyles count="0" defaultTableStyle="TableStyleMedium2" defaultPivotStyle="PivotStyleLight16"/>
  <colors>
    <mruColors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60C455A-6D55-4817-A81C-5BEA5E8347CE}" name="Table2" displayName="Table2" ref="A3:I140" totalsRowShown="0" headerRowDxfId="10" dataDxfId="0" headerRowBorderDxfId="11">
  <autoFilter ref="A3:I140" xr:uid="{460C455A-6D55-4817-A81C-5BEA5E8347CE}"/>
  <tableColumns count="9">
    <tableColumn id="1" xr3:uid="{679226AC-5A0C-4F75-82DF-DE94805C8F0C}" name="Age (ka)" dataDxfId="9"/>
    <tableColumn id="2" xr3:uid="{386D2E27-6242-4258-88DE-EE0CB80D163A}" name="± 1σ" dataDxfId="8"/>
    <tableColumn id="3" xr3:uid="{2CEEEF66-A009-48F9-B28F-707BEA55EF72}" name="± 2σ" dataDxfId="7"/>
    <tableColumn id="4" xr3:uid="{6A6E04CE-8F01-41F2-9DD1-E8EB85D755FD}" name="Age (ka)2" dataDxfId="6" dataCellStyle="Normal 2"/>
    <tableColumn id="5" xr3:uid="{73A93851-0F51-46F5-87C9-11B23912A1A6}" name="± 1σ2" dataDxfId="5">
      <calculatedColumnFormula>F4/2</calculatedColumnFormula>
    </tableColumn>
    <tableColumn id="6" xr3:uid="{541C5F34-BD2D-429E-A33C-C91492311B76}" name="± 2σ2" dataDxfId="4"/>
    <tableColumn id="7" xr3:uid="{F52CF8A0-15D4-4AB6-97E6-41D4E39DDEFA}" name="Age (ka)3" dataDxfId="3"/>
    <tableColumn id="8" xr3:uid="{C9E0402A-915B-4206-B28E-9EA2DB4A9399}" name="± 1σ3" dataDxfId="2"/>
    <tableColumn id="9" xr3:uid="{1A873A9B-16C6-41A7-975B-6F8368B2EB65}" name="± 2σ3" dataDxfId="1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020B2-2873-4A20-8D45-1FA743BCBAA1}">
  <dimension ref="A1:I140"/>
  <sheetViews>
    <sheetView tabSelected="1" workbookViewId="0">
      <selection activeCell="K16" sqref="K16"/>
    </sheetView>
  </sheetViews>
  <sheetFormatPr defaultRowHeight="14.4" x14ac:dyDescent="0.3"/>
  <cols>
    <col min="1" max="1" width="14.109375" bestFit="1" customWidth="1"/>
    <col min="2" max="3" width="10.109375" bestFit="1" customWidth="1"/>
    <col min="4" max="4" width="15.33203125" bestFit="1" customWidth="1"/>
    <col min="5" max="6" width="11.33203125" bestFit="1" customWidth="1"/>
    <col min="7" max="7" width="15.33203125" bestFit="1" customWidth="1"/>
    <col min="8" max="9" width="11.33203125" bestFit="1" customWidth="1"/>
  </cols>
  <sheetData>
    <row r="1" spans="1:9" ht="14.4" customHeight="1" x14ac:dyDescent="0.3">
      <c r="A1" s="1" t="s">
        <v>7</v>
      </c>
      <c r="B1" s="2"/>
      <c r="C1" s="3"/>
      <c r="D1" s="4" t="s">
        <v>8</v>
      </c>
      <c r="E1" s="2"/>
      <c r="F1" s="3"/>
      <c r="G1" s="2" t="s">
        <v>9</v>
      </c>
      <c r="H1" s="2"/>
      <c r="I1" s="3"/>
    </row>
    <row r="2" spans="1:9" ht="14.4" customHeight="1" thickBot="1" x14ac:dyDescent="0.35">
      <c r="A2" s="8"/>
      <c r="B2" s="9"/>
      <c r="C2" s="10"/>
      <c r="D2" s="24"/>
      <c r="E2" s="9"/>
      <c r="F2" s="10"/>
      <c r="G2" s="9"/>
      <c r="H2" s="9"/>
      <c r="I2" s="10"/>
    </row>
    <row r="3" spans="1:9" ht="16.2" thickBot="1" x14ac:dyDescent="0.35">
      <c r="A3" s="5" t="s">
        <v>0</v>
      </c>
      <c r="B3" s="6" t="s">
        <v>1</v>
      </c>
      <c r="C3" s="6" t="s">
        <v>2</v>
      </c>
      <c r="D3" s="6" t="s">
        <v>3</v>
      </c>
      <c r="E3" s="6" t="s">
        <v>10</v>
      </c>
      <c r="F3" s="6" t="s">
        <v>6</v>
      </c>
      <c r="G3" s="6" t="s">
        <v>11</v>
      </c>
      <c r="H3" s="6" t="s">
        <v>4</v>
      </c>
      <c r="I3" s="7" t="s">
        <v>5</v>
      </c>
    </row>
    <row r="4" spans="1:9" x14ac:dyDescent="0.3">
      <c r="A4" s="11">
        <v>48.000808424493009</v>
      </c>
      <c r="B4" s="12">
        <f>C4/2</f>
        <v>66.752629661649195</v>
      </c>
      <c r="C4" s="12">
        <v>133.50525932329839</v>
      </c>
      <c r="D4" s="13">
        <v>74.265937949008318</v>
      </c>
      <c r="E4" s="12">
        <f>F4/2</f>
        <v>7.026670303506954</v>
      </c>
      <c r="F4" s="12">
        <v>14.053340607013908</v>
      </c>
      <c r="G4" s="12">
        <v>77.622481574351482</v>
      </c>
      <c r="H4" s="12">
        <f>I4/2</f>
        <v>34.3337117038079</v>
      </c>
      <c r="I4" s="14">
        <v>68.6674234076158</v>
      </c>
    </row>
    <row r="5" spans="1:9" x14ac:dyDescent="0.3">
      <c r="A5" s="15">
        <v>89.778866711628964</v>
      </c>
      <c r="B5" s="16">
        <f t="shared" ref="B5:B56" si="0">C5/2</f>
        <v>11.080037641037109</v>
      </c>
      <c r="C5" s="16">
        <v>22.160075282074217</v>
      </c>
      <c r="D5" s="17">
        <v>78.453870391164486</v>
      </c>
      <c r="E5" s="16">
        <f t="shared" ref="E5:E68" si="1">F5/2</f>
        <v>10.005139453381815</v>
      </c>
      <c r="F5" s="16">
        <v>20.010278906763631</v>
      </c>
      <c r="G5" s="16">
        <v>78.057770814437845</v>
      </c>
      <c r="H5" s="16">
        <f t="shared" ref="H5:H68" si="2">I5/2</f>
        <v>27.82539351146</v>
      </c>
      <c r="I5" s="18">
        <v>55.650787022919999</v>
      </c>
    </row>
    <row r="6" spans="1:9" x14ac:dyDescent="0.3">
      <c r="A6" s="15">
        <v>90.088213035693158</v>
      </c>
      <c r="B6" s="16">
        <f t="shared" si="0"/>
        <v>10.332658865074727</v>
      </c>
      <c r="C6" s="16">
        <v>20.665317730149454</v>
      </c>
      <c r="D6" s="17">
        <v>79.987653754444935</v>
      </c>
      <c r="E6" s="16">
        <f t="shared" si="1"/>
        <v>12.805546816023487</v>
      </c>
      <c r="F6" s="16">
        <v>25.611093632046973</v>
      </c>
      <c r="G6" s="16">
        <v>79.221105515244545</v>
      </c>
      <c r="H6" s="16">
        <f t="shared" si="2"/>
        <v>27.717863738954641</v>
      </c>
      <c r="I6" s="18">
        <v>55.435727477909282</v>
      </c>
    </row>
    <row r="7" spans="1:9" x14ac:dyDescent="0.3">
      <c r="A7" s="15">
        <v>90.772815477526237</v>
      </c>
      <c r="B7" s="16">
        <f t="shared" si="0"/>
        <v>6.0058667876865215</v>
      </c>
      <c r="C7" s="16">
        <v>12.011733575373043</v>
      </c>
      <c r="D7" s="17">
        <v>80.64670382552282</v>
      </c>
      <c r="E7" s="16">
        <f t="shared" si="1"/>
        <v>11.364710506517561</v>
      </c>
      <c r="F7" s="16">
        <v>22.729421013035122</v>
      </c>
      <c r="G7" s="16">
        <v>82.19851624778903</v>
      </c>
      <c r="H7" s="16">
        <f t="shared" si="2"/>
        <v>21.902072715743529</v>
      </c>
      <c r="I7" s="18">
        <v>43.804145431487058</v>
      </c>
    </row>
    <row r="8" spans="1:9" x14ac:dyDescent="0.3">
      <c r="A8" s="15">
        <v>91.388343400338371</v>
      </c>
      <c r="B8" s="16">
        <f t="shared" si="0"/>
        <v>16.225748138637051</v>
      </c>
      <c r="C8" s="16">
        <v>32.451496277274103</v>
      </c>
      <c r="D8" s="17">
        <v>81.336598453185431</v>
      </c>
      <c r="E8" s="16">
        <f t="shared" si="1"/>
        <v>5.600625038775533</v>
      </c>
      <c r="F8" s="16">
        <v>11.201250077551066</v>
      </c>
      <c r="G8" s="16">
        <v>83.143732423604931</v>
      </c>
      <c r="H8" s="16">
        <f t="shared" si="2"/>
        <v>20.55599768578584</v>
      </c>
      <c r="I8" s="18">
        <v>41.11199537157168</v>
      </c>
    </row>
    <row r="9" spans="1:9" x14ac:dyDescent="0.3">
      <c r="A9" s="15">
        <v>91.463586894555888</v>
      </c>
      <c r="B9" s="16">
        <f t="shared" si="0"/>
        <v>7.3502974402578474</v>
      </c>
      <c r="C9" s="16">
        <v>14.700594880515695</v>
      </c>
      <c r="D9" s="17">
        <v>82.204991344363535</v>
      </c>
      <c r="E9" s="16">
        <f t="shared" si="1"/>
        <v>9.0932928283018413</v>
      </c>
      <c r="F9" s="16">
        <v>18.186585656603683</v>
      </c>
      <c r="G9" s="16">
        <v>85.908785753876671</v>
      </c>
      <c r="H9" s="16">
        <f t="shared" si="2"/>
        <v>17.077275858953939</v>
      </c>
      <c r="I9" s="18">
        <v>34.154551717907879</v>
      </c>
    </row>
    <row r="10" spans="1:9" x14ac:dyDescent="0.3">
      <c r="A10" s="15">
        <v>92.511832657309625</v>
      </c>
      <c r="B10" s="16">
        <f t="shared" si="0"/>
        <v>8.2518680849651673</v>
      </c>
      <c r="C10" s="16">
        <v>16.503736169930335</v>
      </c>
      <c r="D10" s="17">
        <v>82.420732157470638</v>
      </c>
      <c r="E10" s="16">
        <f t="shared" si="1"/>
        <v>9.9632951886243077</v>
      </c>
      <c r="F10" s="16">
        <v>19.926590377248615</v>
      </c>
      <c r="G10" s="16">
        <v>87.026810022234798</v>
      </c>
      <c r="H10" s="16">
        <f t="shared" si="2"/>
        <v>39.501593200539752</v>
      </c>
      <c r="I10" s="18">
        <v>79.003186401079503</v>
      </c>
    </row>
    <row r="11" spans="1:9" x14ac:dyDescent="0.3">
      <c r="A11" s="15">
        <v>92.849472640138131</v>
      </c>
      <c r="B11" s="16">
        <f t="shared" si="0"/>
        <v>24.958511181805314</v>
      </c>
      <c r="C11" s="16">
        <v>49.917022363610627</v>
      </c>
      <c r="D11" s="17">
        <v>82.517200620282708</v>
      </c>
      <c r="E11" s="16">
        <f t="shared" si="1"/>
        <v>12.059639438947912</v>
      </c>
      <c r="F11" s="16">
        <v>24.119278877895823</v>
      </c>
      <c r="G11" s="16">
        <v>88.304946070739277</v>
      </c>
      <c r="H11" s="16">
        <f t="shared" si="2"/>
        <v>27.168812556235132</v>
      </c>
      <c r="I11" s="18">
        <v>54.337625112470263</v>
      </c>
    </row>
    <row r="12" spans="1:9" x14ac:dyDescent="0.3">
      <c r="A12" s="15">
        <v>93.545350755011214</v>
      </c>
      <c r="B12" s="16">
        <f t="shared" si="0"/>
        <v>8.2339871104359048</v>
      </c>
      <c r="C12" s="16">
        <v>16.46797422087181</v>
      </c>
      <c r="D12" s="17">
        <v>83.148957984240809</v>
      </c>
      <c r="E12" s="16">
        <f t="shared" si="1"/>
        <v>5.4781581478024748</v>
      </c>
      <c r="F12" s="16">
        <v>10.95631629560495</v>
      </c>
      <c r="G12" s="16">
        <v>89.089900231409899</v>
      </c>
      <c r="H12" s="16">
        <f t="shared" si="2"/>
        <v>27.877351800818222</v>
      </c>
      <c r="I12" s="18">
        <v>55.754703601636443</v>
      </c>
    </row>
    <row r="13" spans="1:9" x14ac:dyDescent="0.3">
      <c r="A13" s="15">
        <v>94.68217539215874</v>
      </c>
      <c r="B13" s="16">
        <f t="shared" si="0"/>
        <v>8.8852529605761461</v>
      </c>
      <c r="C13" s="16">
        <v>17.770505921152292</v>
      </c>
      <c r="D13" s="17">
        <v>83.790900821729835</v>
      </c>
      <c r="E13" s="16">
        <f t="shared" si="1"/>
        <v>10.362738496996293</v>
      </c>
      <c r="F13" s="16">
        <v>20.725476993992586</v>
      </c>
      <c r="G13" s="16">
        <v>89.946044927265774</v>
      </c>
      <c r="H13" s="16">
        <f t="shared" si="2"/>
        <v>36.137706855248517</v>
      </c>
      <c r="I13" s="18">
        <v>72.275413710497034</v>
      </c>
    </row>
    <row r="14" spans="1:9" x14ac:dyDescent="0.3">
      <c r="A14" s="15">
        <v>95.271310226429136</v>
      </c>
      <c r="B14" s="16">
        <f t="shared" si="0"/>
        <v>8.4904773479598532</v>
      </c>
      <c r="C14" s="16">
        <v>16.980954695919706</v>
      </c>
      <c r="D14" s="17">
        <v>84.766351162451826</v>
      </c>
      <c r="E14" s="16">
        <f t="shared" si="1"/>
        <v>11.437448349016357</v>
      </c>
      <c r="F14" s="16">
        <v>22.874896698032714</v>
      </c>
      <c r="G14" s="16">
        <v>91.115629114179356</v>
      </c>
      <c r="H14" s="16">
        <f t="shared" si="2"/>
        <v>23.233611992051149</v>
      </c>
      <c r="I14" s="18">
        <v>46.467223984102297</v>
      </c>
    </row>
    <row r="15" spans="1:9" x14ac:dyDescent="0.3">
      <c r="A15" s="15">
        <v>97.349353650074377</v>
      </c>
      <c r="B15" s="16">
        <f t="shared" si="0"/>
        <v>7.6300726247779167</v>
      </c>
      <c r="C15" s="16">
        <v>15.260145249555833</v>
      </c>
      <c r="D15" s="17">
        <v>84.800649617323757</v>
      </c>
      <c r="E15" s="16">
        <f t="shared" si="1"/>
        <v>12.480654102263053</v>
      </c>
      <c r="F15" s="16">
        <v>24.961308204526105</v>
      </c>
      <c r="G15" s="16">
        <v>95.57317748489551</v>
      </c>
      <c r="H15" s="16">
        <f t="shared" si="2"/>
        <v>43.405812441191387</v>
      </c>
      <c r="I15" s="18">
        <v>86.811624882382773</v>
      </c>
    </row>
    <row r="16" spans="1:9" x14ac:dyDescent="0.3">
      <c r="A16" s="15">
        <v>99.469872083937929</v>
      </c>
      <c r="B16" s="16">
        <f t="shared" si="0"/>
        <v>8.8103768881629492</v>
      </c>
      <c r="C16" s="16">
        <v>17.620753776325898</v>
      </c>
      <c r="D16" s="17">
        <v>84.91482967347028</v>
      </c>
      <c r="E16" s="16">
        <f t="shared" si="1"/>
        <v>5.1474964783491757</v>
      </c>
      <c r="F16" s="16">
        <v>10.294992956698351</v>
      </c>
      <c r="G16" s="16">
        <v>95.970067364635085</v>
      </c>
      <c r="H16" s="16">
        <f t="shared" si="2"/>
        <v>19.966167966152241</v>
      </c>
      <c r="I16" s="18">
        <v>39.932335932304483</v>
      </c>
    </row>
    <row r="17" spans="1:9" x14ac:dyDescent="0.3">
      <c r="A17" s="15">
        <v>100.07580780248257</v>
      </c>
      <c r="B17" s="16">
        <f t="shared" si="0"/>
        <v>10.682503245949491</v>
      </c>
      <c r="C17" s="16">
        <v>21.365006491898981</v>
      </c>
      <c r="D17" s="17">
        <v>85.377450228221221</v>
      </c>
      <c r="E17" s="16">
        <f t="shared" si="1"/>
        <v>17.39429386823079</v>
      </c>
      <c r="F17" s="16">
        <v>34.788587736461579</v>
      </c>
      <c r="G17" s="16">
        <v>99.38870036745314</v>
      </c>
      <c r="H17" s="16">
        <f t="shared" si="2"/>
        <v>38.463821237273862</v>
      </c>
      <c r="I17" s="18">
        <v>76.927642474547724</v>
      </c>
    </row>
    <row r="18" spans="1:9" x14ac:dyDescent="0.3">
      <c r="A18" s="15">
        <v>100.15438788173817</v>
      </c>
      <c r="B18" s="16">
        <f t="shared" si="0"/>
        <v>9.3072537832086013</v>
      </c>
      <c r="C18" s="16">
        <v>18.614507566417203</v>
      </c>
      <c r="D18" s="17">
        <v>85.903541406947127</v>
      </c>
      <c r="E18" s="16">
        <f t="shared" si="1"/>
        <v>6.0181746930693762</v>
      </c>
      <c r="F18" s="16">
        <v>12.036349386138752</v>
      </c>
      <c r="G18" s="16">
        <v>99.511414114724971</v>
      </c>
      <c r="H18" s="16">
        <f t="shared" si="2"/>
        <v>22.124014314641759</v>
      </c>
      <c r="I18" s="18">
        <v>44.248028629283517</v>
      </c>
    </row>
    <row r="19" spans="1:9" x14ac:dyDescent="0.3">
      <c r="A19" s="15">
        <v>100.44345295998156</v>
      </c>
      <c r="B19" s="16">
        <f t="shared" si="0"/>
        <v>10.291844142423201</v>
      </c>
      <c r="C19" s="16">
        <v>20.583688284846403</v>
      </c>
      <c r="D19" s="17">
        <v>86.209866092296863</v>
      </c>
      <c r="E19" s="16">
        <f t="shared" si="1"/>
        <v>6.1778517205023462</v>
      </c>
      <c r="F19" s="16">
        <v>12.355703441004692</v>
      </c>
      <c r="G19" s="16">
        <v>100.8591967523583</v>
      </c>
      <c r="H19" s="16">
        <f t="shared" si="2"/>
        <v>15.87790206624509</v>
      </c>
      <c r="I19" s="18">
        <v>31.75580413249018</v>
      </c>
    </row>
    <row r="20" spans="1:9" x14ac:dyDescent="0.3">
      <c r="A20" s="15">
        <v>100.60772847359759</v>
      </c>
      <c r="B20" s="16">
        <f t="shared" si="0"/>
        <v>12.116035373344623</v>
      </c>
      <c r="C20" s="16">
        <v>24.232070746689246</v>
      </c>
      <c r="D20" s="17">
        <v>87.250816475435286</v>
      </c>
      <c r="E20" s="16">
        <f t="shared" si="1"/>
        <v>8.0548929411645318</v>
      </c>
      <c r="F20" s="16">
        <v>16.109785882329064</v>
      </c>
      <c r="G20" s="16">
        <v>103.23476248025329</v>
      </c>
      <c r="H20" s="16">
        <f t="shared" si="2"/>
        <v>27.088584770283472</v>
      </c>
      <c r="I20" s="18">
        <v>54.177169540566943</v>
      </c>
    </row>
    <row r="21" spans="1:9" x14ac:dyDescent="0.3">
      <c r="A21" s="15">
        <v>100.76116885955982</v>
      </c>
      <c r="B21" s="16">
        <f t="shared" si="0"/>
        <v>10.925036593368723</v>
      </c>
      <c r="C21" s="16">
        <v>21.850073186737447</v>
      </c>
      <c r="D21" s="17">
        <v>87.372984257546605</v>
      </c>
      <c r="E21" s="16">
        <f t="shared" si="1"/>
        <v>6.9818564469166304</v>
      </c>
      <c r="F21" s="16">
        <v>13.963712893833261</v>
      </c>
      <c r="G21" s="16">
        <v>104.00364198835371</v>
      </c>
      <c r="H21" s="16">
        <f t="shared" si="2"/>
        <v>38.482234364996827</v>
      </c>
      <c r="I21" s="18">
        <v>76.964468729993655</v>
      </c>
    </row>
    <row r="22" spans="1:9" x14ac:dyDescent="0.3">
      <c r="A22" s="15">
        <v>102.3659300874635</v>
      </c>
      <c r="B22" s="16">
        <f t="shared" si="0"/>
        <v>19.373570593407905</v>
      </c>
      <c r="C22" s="16">
        <v>38.74714118681581</v>
      </c>
      <c r="D22" s="17">
        <v>87.51838333198279</v>
      </c>
      <c r="E22" s="16">
        <f t="shared" si="1"/>
        <v>11.291989092974994</v>
      </c>
      <c r="F22" s="16">
        <v>22.583978185949988</v>
      </c>
      <c r="G22" s="16">
        <v>105.32003870526491</v>
      </c>
      <c r="H22" s="16">
        <f t="shared" si="2"/>
        <v>34.142396784435277</v>
      </c>
      <c r="I22" s="18">
        <v>68.284793568870555</v>
      </c>
    </row>
    <row r="23" spans="1:9" x14ac:dyDescent="0.3">
      <c r="A23" s="15">
        <v>102.9962266612349</v>
      </c>
      <c r="B23" s="16">
        <f t="shared" si="0"/>
        <v>10.456662613041885</v>
      </c>
      <c r="C23" s="16">
        <v>20.913325226083771</v>
      </c>
      <c r="D23" s="17">
        <v>87.776525171151221</v>
      </c>
      <c r="E23" s="16">
        <f t="shared" si="1"/>
        <v>6.7337762183704299</v>
      </c>
      <c r="F23" s="16">
        <v>13.46755243674086</v>
      </c>
      <c r="G23" s="16">
        <v>105.7052575431586</v>
      </c>
      <c r="H23" s="16">
        <f t="shared" si="2"/>
        <v>16.951431227685621</v>
      </c>
      <c r="I23" s="18">
        <v>33.902862455371242</v>
      </c>
    </row>
    <row r="24" spans="1:9" x14ac:dyDescent="0.3">
      <c r="A24" s="15">
        <v>103.1972890404496</v>
      </c>
      <c r="B24" s="16">
        <f t="shared" si="0"/>
        <v>13.275853242263082</v>
      </c>
      <c r="C24" s="16">
        <v>26.551706484526164</v>
      </c>
      <c r="D24" s="17">
        <v>88.245744647954666</v>
      </c>
      <c r="E24" s="16">
        <f t="shared" si="1"/>
        <v>5.731433176209606</v>
      </c>
      <c r="F24" s="16">
        <v>11.462866352419212</v>
      </c>
      <c r="G24" s="16">
        <v>106.8546183792416</v>
      </c>
      <c r="H24" s="16">
        <f t="shared" si="2"/>
        <v>23.466852135303739</v>
      </c>
      <c r="I24" s="18">
        <v>46.933704270607478</v>
      </c>
    </row>
    <row r="25" spans="1:9" x14ac:dyDescent="0.3">
      <c r="A25" s="15">
        <v>104.72549475966272</v>
      </c>
      <c r="B25" s="16">
        <f t="shared" si="0"/>
        <v>7.7393679061225313</v>
      </c>
      <c r="C25" s="16">
        <v>15.478735812245063</v>
      </c>
      <c r="D25" s="17">
        <v>88.416994569733419</v>
      </c>
      <c r="E25" s="16">
        <f t="shared" si="1"/>
        <v>16.296322818237066</v>
      </c>
      <c r="F25" s="16">
        <v>32.592645636474131</v>
      </c>
      <c r="G25" s="16">
        <v>107.1380066793126</v>
      </c>
      <c r="H25" s="16">
        <f t="shared" si="2"/>
        <v>18.943364480938449</v>
      </c>
      <c r="I25" s="18">
        <v>37.886728961876898</v>
      </c>
    </row>
    <row r="26" spans="1:9" x14ac:dyDescent="0.3">
      <c r="A26" s="15">
        <v>105.17784466124306</v>
      </c>
      <c r="B26" s="16">
        <f t="shared" si="0"/>
        <v>9.1563570987794805</v>
      </c>
      <c r="C26" s="16">
        <v>18.312714197558961</v>
      </c>
      <c r="D26" s="17">
        <v>88.430492687380351</v>
      </c>
      <c r="E26" s="16">
        <f t="shared" si="1"/>
        <v>13.016084754422366</v>
      </c>
      <c r="F26" s="16">
        <v>26.032169508844731</v>
      </c>
      <c r="G26" s="16">
        <v>107.914951831004</v>
      </c>
      <c r="H26" s="16">
        <f t="shared" si="2"/>
        <v>40.886674758630207</v>
      </c>
      <c r="I26" s="18">
        <v>81.773349517260414</v>
      </c>
    </row>
    <row r="27" spans="1:9" x14ac:dyDescent="0.3">
      <c r="A27" s="15">
        <v>105.39439001413004</v>
      </c>
      <c r="B27" s="16">
        <f t="shared" si="0"/>
        <v>10.185806547129111</v>
      </c>
      <c r="C27" s="16">
        <v>20.371613094258223</v>
      </c>
      <c r="D27" s="17">
        <v>88.52385540527311</v>
      </c>
      <c r="E27" s="16">
        <f t="shared" si="1"/>
        <v>6.3834269867816928</v>
      </c>
      <c r="F27" s="16">
        <v>12.766853973563386</v>
      </c>
      <c r="G27" s="16">
        <v>109.0908372966198</v>
      </c>
      <c r="H27" s="16">
        <f t="shared" si="2"/>
        <v>31.243568398743641</v>
      </c>
      <c r="I27" s="18">
        <v>62.487136797487281</v>
      </c>
    </row>
    <row r="28" spans="1:9" x14ac:dyDescent="0.3">
      <c r="A28" s="15">
        <v>105.63760605586087</v>
      </c>
      <c r="B28" s="16">
        <f t="shared" si="0"/>
        <v>8.5999193834404366</v>
      </c>
      <c r="C28" s="16">
        <v>17.199838766880873</v>
      </c>
      <c r="D28" s="17">
        <v>88.735443221569</v>
      </c>
      <c r="E28" s="16">
        <f t="shared" si="1"/>
        <v>17.171303067112603</v>
      </c>
      <c r="F28" s="16">
        <v>34.342606134225207</v>
      </c>
      <c r="G28" s="16">
        <v>109.5494236477102</v>
      </c>
      <c r="H28" s="16">
        <f t="shared" si="2"/>
        <v>16.948945148332431</v>
      </c>
      <c r="I28" s="18">
        <v>33.897890296664862</v>
      </c>
    </row>
    <row r="29" spans="1:9" x14ac:dyDescent="0.3">
      <c r="A29" s="15">
        <v>105.77265587259585</v>
      </c>
      <c r="B29" s="16">
        <f t="shared" si="0"/>
        <v>15.988661164700432</v>
      </c>
      <c r="C29" s="16">
        <v>31.977322329400863</v>
      </c>
      <c r="D29" s="17">
        <v>88.855878731017015</v>
      </c>
      <c r="E29" s="16">
        <f t="shared" si="1"/>
        <v>11.70083291040325</v>
      </c>
      <c r="F29" s="16">
        <v>23.4016658208065</v>
      </c>
      <c r="G29" s="16">
        <v>109.55109182212421</v>
      </c>
      <c r="H29" s="16">
        <f t="shared" si="2"/>
        <v>25.162118246595931</v>
      </c>
      <c r="I29" s="18">
        <v>50.324236493191862</v>
      </c>
    </row>
    <row r="30" spans="1:9" x14ac:dyDescent="0.3">
      <c r="A30" s="15">
        <v>106.23584369363945</v>
      </c>
      <c r="B30" s="16">
        <f t="shared" si="0"/>
        <v>14.914466776398591</v>
      </c>
      <c r="C30" s="16">
        <v>29.828933552797182</v>
      </c>
      <c r="D30" s="17">
        <v>88.859714034852189</v>
      </c>
      <c r="E30" s="16">
        <f t="shared" si="1"/>
        <v>12.094894098799486</v>
      </c>
      <c r="F30" s="16">
        <v>24.189788197598972</v>
      </c>
      <c r="G30" s="16">
        <v>111.34613726860231</v>
      </c>
      <c r="H30" s="16">
        <f t="shared" si="2"/>
        <v>34.298714122426681</v>
      </c>
      <c r="I30" s="18">
        <v>68.597428244853361</v>
      </c>
    </row>
    <row r="31" spans="1:9" x14ac:dyDescent="0.3">
      <c r="A31" s="15">
        <v>107.13980926421219</v>
      </c>
      <c r="B31" s="16">
        <f t="shared" si="0"/>
        <v>11.319243945142048</v>
      </c>
      <c r="C31" s="16">
        <v>22.638487890284097</v>
      </c>
      <c r="D31" s="17">
        <v>88.90610973142239</v>
      </c>
      <c r="E31" s="16">
        <f t="shared" si="1"/>
        <v>5.8556845489006193</v>
      </c>
      <c r="F31" s="16">
        <v>11.711369097801239</v>
      </c>
      <c r="G31" s="16">
        <v>113.1362107485584</v>
      </c>
      <c r="H31" s="16">
        <f t="shared" si="2"/>
        <v>25.816472830624619</v>
      </c>
      <c r="I31" s="18">
        <v>51.632945661249238</v>
      </c>
    </row>
    <row r="32" spans="1:9" x14ac:dyDescent="0.3">
      <c r="A32" s="15">
        <v>107.2856198666931</v>
      </c>
      <c r="B32" s="16">
        <f t="shared" si="0"/>
        <v>8.9506443001672693</v>
      </c>
      <c r="C32" s="16">
        <v>17.901288600334539</v>
      </c>
      <c r="D32" s="17">
        <v>88.929826187279772</v>
      </c>
      <c r="E32" s="16">
        <f t="shared" si="1"/>
        <v>5.8790728488952197</v>
      </c>
      <c r="F32" s="16">
        <v>11.758145697790439</v>
      </c>
      <c r="G32" s="16">
        <v>116.39556931154129</v>
      </c>
      <c r="H32" s="16">
        <f t="shared" si="2"/>
        <v>27.876675851540341</v>
      </c>
      <c r="I32" s="18">
        <v>55.753351703080682</v>
      </c>
    </row>
    <row r="33" spans="1:9" x14ac:dyDescent="0.3">
      <c r="A33" s="15">
        <v>107.31107013365344</v>
      </c>
      <c r="B33" s="16">
        <f t="shared" si="0"/>
        <v>11.219642598751705</v>
      </c>
      <c r="C33" s="16">
        <v>22.439285197503409</v>
      </c>
      <c r="D33" s="17">
        <v>89.935734888237164</v>
      </c>
      <c r="E33" s="16">
        <f t="shared" si="1"/>
        <v>39.11287360065775</v>
      </c>
      <c r="F33" s="16">
        <v>78.2257472013155</v>
      </c>
      <c r="G33" s="16">
        <v>118.1156197920639</v>
      </c>
      <c r="H33" s="16">
        <f t="shared" si="2"/>
        <v>12.346035586329251</v>
      </c>
      <c r="I33" s="18">
        <v>24.692071172658501</v>
      </c>
    </row>
    <row r="34" spans="1:9" x14ac:dyDescent="0.3">
      <c r="A34" s="15">
        <v>107.56051555442023</v>
      </c>
      <c r="B34" s="16">
        <f t="shared" si="0"/>
        <v>9.5716975161826525</v>
      </c>
      <c r="C34" s="16">
        <v>19.143395032365305</v>
      </c>
      <c r="D34" s="17">
        <v>89.952149625881475</v>
      </c>
      <c r="E34" s="16">
        <f t="shared" si="1"/>
        <v>5.8174938630324817</v>
      </c>
      <c r="F34" s="16">
        <v>11.634987726064963</v>
      </c>
      <c r="G34" s="16">
        <v>119.2651411322835</v>
      </c>
      <c r="H34" s="16">
        <f t="shared" si="2"/>
        <v>40.016877749369861</v>
      </c>
      <c r="I34" s="18">
        <v>80.033755498739723</v>
      </c>
    </row>
    <row r="35" spans="1:9" x14ac:dyDescent="0.3">
      <c r="A35" s="15">
        <v>108.83674883315769</v>
      </c>
      <c r="B35" s="16">
        <f t="shared" si="0"/>
        <v>11.249391963529632</v>
      </c>
      <c r="C35" s="16">
        <v>22.498783927059264</v>
      </c>
      <c r="D35" s="17">
        <v>90.625332496971239</v>
      </c>
      <c r="E35" s="16">
        <f t="shared" si="1"/>
        <v>6.0228283325386869</v>
      </c>
      <c r="F35" s="16">
        <v>12.045656665077374</v>
      </c>
      <c r="G35" s="16">
        <v>119.572694413446</v>
      </c>
      <c r="H35" s="16">
        <f t="shared" si="2"/>
        <v>21.073295586654279</v>
      </c>
      <c r="I35" s="18">
        <v>42.146591173308558</v>
      </c>
    </row>
    <row r="36" spans="1:9" x14ac:dyDescent="0.3">
      <c r="A36" s="15">
        <v>109.00934174142121</v>
      </c>
      <c r="B36" s="16">
        <f t="shared" si="0"/>
        <v>7.7985534270856931</v>
      </c>
      <c r="C36" s="16">
        <v>15.597106854171386</v>
      </c>
      <c r="D36" s="17">
        <v>90.837835190350617</v>
      </c>
      <c r="E36" s="16">
        <f t="shared" si="1"/>
        <v>8.4586287656698715</v>
      </c>
      <c r="F36" s="16">
        <v>16.917257531339743</v>
      </c>
      <c r="G36" s="16">
        <v>119.6113130917976</v>
      </c>
      <c r="H36" s="16">
        <f t="shared" si="2"/>
        <v>30.45602335466365</v>
      </c>
      <c r="I36" s="18">
        <v>60.912046709327299</v>
      </c>
    </row>
    <row r="37" spans="1:9" x14ac:dyDescent="0.3">
      <c r="A37" s="15">
        <v>109.56256399045449</v>
      </c>
      <c r="B37" s="16">
        <f t="shared" si="0"/>
        <v>14.443992148670311</v>
      </c>
      <c r="C37" s="16">
        <v>28.887984297340623</v>
      </c>
      <c r="D37" s="17">
        <v>90.959481190374547</v>
      </c>
      <c r="E37" s="16">
        <f t="shared" si="1"/>
        <v>6.293243399475152</v>
      </c>
      <c r="F37" s="16">
        <v>12.586486798950304</v>
      </c>
      <c r="G37" s="16">
        <v>121.3873032672562</v>
      </c>
      <c r="H37" s="16">
        <f t="shared" si="2"/>
        <v>33.379737517130977</v>
      </c>
      <c r="I37" s="18">
        <v>66.759475034261953</v>
      </c>
    </row>
    <row r="38" spans="1:9" x14ac:dyDescent="0.3">
      <c r="A38" s="15">
        <v>111.26857474653292</v>
      </c>
      <c r="B38" s="16">
        <f t="shared" si="0"/>
        <v>19.147543706191435</v>
      </c>
      <c r="C38" s="16">
        <v>38.29508741238287</v>
      </c>
      <c r="D38" s="17">
        <v>91.302000603230184</v>
      </c>
      <c r="E38" s="16">
        <f t="shared" si="1"/>
        <v>8.9535813812922882</v>
      </c>
      <c r="F38" s="16">
        <v>17.907162762584576</v>
      </c>
      <c r="G38" s="16">
        <v>121.7237395838121</v>
      </c>
      <c r="H38" s="16">
        <f t="shared" si="2"/>
        <v>21.195149980781231</v>
      </c>
      <c r="I38" s="18">
        <v>42.390299961562462</v>
      </c>
    </row>
    <row r="39" spans="1:9" x14ac:dyDescent="0.3">
      <c r="A39" s="15">
        <v>112.84911389565784</v>
      </c>
      <c r="B39" s="16">
        <f t="shared" si="0"/>
        <v>18.597880278401021</v>
      </c>
      <c r="C39" s="16">
        <v>37.195760556802043</v>
      </c>
      <c r="D39" s="17">
        <v>91.450966199530001</v>
      </c>
      <c r="E39" s="16">
        <f t="shared" si="1"/>
        <v>16.754467930724488</v>
      </c>
      <c r="F39" s="16">
        <v>33.508935861448975</v>
      </c>
      <c r="G39" s="16">
        <v>123.38002628223749</v>
      </c>
      <c r="H39" s="16">
        <f t="shared" si="2"/>
        <v>16.21505823705672</v>
      </c>
      <c r="I39" s="18">
        <v>32.43011647411344</v>
      </c>
    </row>
    <row r="40" spans="1:9" x14ac:dyDescent="0.3">
      <c r="A40" s="15">
        <v>113.24525962371008</v>
      </c>
      <c r="B40" s="16">
        <f t="shared" si="0"/>
        <v>16.364654605673024</v>
      </c>
      <c r="C40" s="16">
        <v>32.729309211346049</v>
      </c>
      <c r="D40" s="17">
        <v>91.597354829251415</v>
      </c>
      <c r="E40" s="16">
        <f t="shared" si="1"/>
        <v>6.3497501324865553</v>
      </c>
      <c r="F40" s="16">
        <v>12.699500264973111</v>
      </c>
      <c r="G40" s="16">
        <v>123.58830273965989</v>
      </c>
      <c r="H40" s="16">
        <f t="shared" si="2"/>
        <v>46.70053455311664</v>
      </c>
      <c r="I40" s="18">
        <v>93.40106910623328</v>
      </c>
    </row>
    <row r="41" spans="1:9" x14ac:dyDescent="0.3">
      <c r="A41" s="15">
        <v>115.2441278234961</v>
      </c>
      <c r="B41" s="16">
        <f t="shared" si="0"/>
        <v>25.403398358809717</v>
      </c>
      <c r="C41" s="16">
        <v>50.806796717619434</v>
      </c>
      <c r="D41" s="17">
        <v>91.766215406394195</v>
      </c>
      <c r="E41" s="16">
        <f t="shared" si="1"/>
        <v>13.467750076363657</v>
      </c>
      <c r="F41" s="16">
        <v>26.935500152727315</v>
      </c>
      <c r="G41" s="16">
        <v>124.7886561052963</v>
      </c>
      <c r="H41" s="16">
        <f t="shared" si="2"/>
        <v>38.048016070053507</v>
      </c>
      <c r="I41" s="18">
        <v>76.096032140107013</v>
      </c>
    </row>
    <row r="42" spans="1:9" x14ac:dyDescent="0.3">
      <c r="A42" s="15">
        <v>115.61654002717887</v>
      </c>
      <c r="B42" s="16">
        <f t="shared" si="0"/>
        <v>18.428937789769847</v>
      </c>
      <c r="C42" s="16">
        <v>36.857875579539694</v>
      </c>
      <c r="D42" s="17">
        <v>91.832066406765023</v>
      </c>
      <c r="E42" s="16">
        <f t="shared" si="1"/>
        <v>6.4642814786846472</v>
      </c>
      <c r="F42" s="16">
        <v>12.928562957369294</v>
      </c>
      <c r="G42" s="16">
        <v>124.834589032681</v>
      </c>
      <c r="H42" s="16">
        <f t="shared" si="2"/>
        <v>32.8530318882475</v>
      </c>
      <c r="I42" s="18">
        <v>65.706063776495</v>
      </c>
    </row>
    <row r="43" spans="1:9" x14ac:dyDescent="0.3">
      <c r="A43" s="15">
        <v>118.00001717264067</v>
      </c>
      <c r="B43" s="16">
        <f t="shared" si="0"/>
        <v>25.472190551238555</v>
      </c>
      <c r="C43" s="16">
        <v>50.944381102477109</v>
      </c>
      <c r="D43" s="17">
        <v>92.005611739862999</v>
      </c>
      <c r="E43" s="16">
        <f t="shared" si="1"/>
        <v>15.249262470105307</v>
      </c>
      <c r="F43" s="16">
        <v>30.498524940210615</v>
      </c>
      <c r="G43" s="16">
        <v>124.84337281838449</v>
      </c>
      <c r="H43" s="16">
        <f t="shared" si="2"/>
        <v>14.01755698843775</v>
      </c>
      <c r="I43" s="18">
        <v>28.0351139768755</v>
      </c>
    </row>
    <row r="44" spans="1:9" x14ac:dyDescent="0.3">
      <c r="A44" s="15">
        <v>119.70690822463779</v>
      </c>
      <c r="B44" s="16">
        <f t="shared" si="0"/>
        <v>10.24220961518968</v>
      </c>
      <c r="C44" s="16">
        <v>20.484419230379359</v>
      </c>
      <c r="D44" s="17">
        <v>92.354258406824627</v>
      </c>
      <c r="E44" s="16">
        <f t="shared" si="1"/>
        <v>27.158168170926736</v>
      </c>
      <c r="F44" s="16">
        <v>54.316336341853471</v>
      </c>
      <c r="G44" s="16">
        <v>125.5051243200884</v>
      </c>
      <c r="H44" s="16">
        <f t="shared" si="2"/>
        <v>17.766750606469131</v>
      </c>
      <c r="I44" s="18">
        <v>35.533501212938262</v>
      </c>
    </row>
    <row r="45" spans="1:9" x14ac:dyDescent="0.3">
      <c r="A45" s="15">
        <v>120.43270058584771</v>
      </c>
      <c r="B45" s="16">
        <f t="shared" si="0"/>
        <v>10.063646858609573</v>
      </c>
      <c r="C45" s="16">
        <v>20.127293717219146</v>
      </c>
      <c r="D45" s="17">
        <v>92.455473281011578</v>
      </c>
      <c r="E45" s="16">
        <f t="shared" si="1"/>
        <v>7.7206005919942058</v>
      </c>
      <c r="F45" s="16">
        <v>15.441201183988412</v>
      </c>
      <c r="G45" s="16">
        <v>126.9859450717362</v>
      </c>
      <c r="H45" s="16">
        <f t="shared" si="2"/>
        <v>9.7428332618265561</v>
      </c>
      <c r="I45" s="18">
        <v>19.485666523653112</v>
      </c>
    </row>
    <row r="46" spans="1:9" x14ac:dyDescent="0.3">
      <c r="A46" s="15">
        <v>125.63799262272609</v>
      </c>
      <c r="B46" s="16">
        <f t="shared" si="0"/>
        <v>11.888794936390994</v>
      </c>
      <c r="C46" s="16">
        <v>23.777589872781988</v>
      </c>
      <c r="D46" s="17">
        <v>92.455473281011578</v>
      </c>
      <c r="E46" s="16">
        <f t="shared" si="1"/>
        <v>6.3066036380632724</v>
      </c>
      <c r="F46" s="16">
        <v>12.613207276126545</v>
      </c>
      <c r="G46" s="16">
        <v>127.1335663010879</v>
      </c>
      <c r="H46" s="16">
        <f t="shared" si="2"/>
        <v>21.767422668932369</v>
      </c>
      <c r="I46" s="18">
        <v>43.534845337864738</v>
      </c>
    </row>
    <row r="47" spans="1:9" x14ac:dyDescent="0.3">
      <c r="A47" s="15">
        <v>126.87877896808614</v>
      </c>
      <c r="B47" s="16">
        <f t="shared" si="0"/>
        <v>51.176024034541776</v>
      </c>
      <c r="C47" s="16">
        <v>102.35204806908355</v>
      </c>
      <c r="D47" s="17">
        <v>93.582828523399897</v>
      </c>
      <c r="E47" s="16">
        <f t="shared" si="1"/>
        <v>10.618621905248204</v>
      </c>
      <c r="F47" s="16">
        <v>21.237243810496409</v>
      </c>
      <c r="G47" s="16">
        <v>127.8337302452609</v>
      </c>
      <c r="H47" s="16">
        <f t="shared" si="2"/>
        <v>39.919576413289747</v>
      </c>
      <c r="I47" s="18">
        <v>79.839152826579493</v>
      </c>
    </row>
    <row r="48" spans="1:9" x14ac:dyDescent="0.3">
      <c r="A48" s="15">
        <v>129.26438606498078</v>
      </c>
      <c r="B48" s="16">
        <f t="shared" si="0"/>
        <v>14.669764548509512</v>
      </c>
      <c r="C48" s="16">
        <v>29.339529097019025</v>
      </c>
      <c r="D48" s="17">
        <v>93.858996246466518</v>
      </c>
      <c r="E48" s="16">
        <f t="shared" si="1"/>
        <v>7.8266125705468852</v>
      </c>
      <c r="F48" s="16">
        <v>15.65322514109377</v>
      </c>
      <c r="G48" s="16">
        <v>128.36388866118909</v>
      </c>
      <c r="H48" s="16">
        <f t="shared" si="2"/>
        <v>23.54270721513576</v>
      </c>
      <c r="I48" s="18">
        <v>47.08541443027152</v>
      </c>
    </row>
    <row r="49" spans="1:9" x14ac:dyDescent="0.3">
      <c r="A49" s="15">
        <v>131.29453232768086</v>
      </c>
      <c r="B49" s="16">
        <f t="shared" si="0"/>
        <v>14.782665987124723</v>
      </c>
      <c r="C49" s="16">
        <v>29.565331974249446</v>
      </c>
      <c r="D49" s="17">
        <v>93.95592374657349</v>
      </c>
      <c r="E49" s="16">
        <f t="shared" si="1"/>
        <v>6.0725291382274733</v>
      </c>
      <c r="F49" s="16">
        <v>12.145058276454947</v>
      </c>
      <c r="G49" s="16">
        <v>130.65244215535509</v>
      </c>
      <c r="H49" s="16">
        <f t="shared" si="2"/>
        <v>23.232010799163248</v>
      </c>
      <c r="I49" s="18">
        <v>46.464021598326497</v>
      </c>
    </row>
    <row r="50" spans="1:9" x14ac:dyDescent="0.3">
      <c r="A50" s="15">
        <v>133.17261873224822</v>
      </c>
      <c r="B50" s="16">
        <f t="shared" si="0"/>
        <v>23.209618514822459</v>
      </c>
      <c r="C50" s="16">
        <v>46.419237029644918</v>
      </c>
      <c r="D50" s="17">
        <v>94.215869691036659</v>
      </c>
      <c r="E50" s="16">
        <f t="shared" si="1"/>
        <v>6.145705218385352</v>
      </c>
      <c r="F50" s="16">
        <v>12.291410436770704</v>
      </c>
      <c r="G50" s="16">
        <v>132.39820528069001</v>
      </c>
      <c r="H50" s="16">
        <f t="shared" si="2"/>
        <v>17.734035020876831</v>
      </c>
      <c r="I50" s="18">
        <v>35.468070041753663</v>
      </c>
    </row>
    <row r="51" spans="1:9" x14ac:dyDescent="0.3">
      <c r="A51" s="15">
        <v>133.44518882738421</v>
      </c>
      <c r="B51" s="16">
        <f t="shared" si="0"/>
        <v>29.691719081739649</v>
      </c>
      <c r="C51" s="16">
        <v>59.383438163479298</v>
      </c>
      <c r="D51" s="17">
        <v>94.276627691484293</v>
      </c>
      <c r="E51" s="16">
        <f t="shared" si="1"/>
        <v>10.859765942557686</v>
      </c>
      <c r="F51" s="16">
        <v>21.719531885115373</v>
      </c>
      <c r="G51" s="16">
        <v>133.70358567210721</v>
      </c>
      <c r="H51" s="16">
        <f t="shared" si="2"/>
        <v>34.1590029564641</v>
      </c>
      <c r="I51" s="18">
        <v>68.3180059129282</v>
      </c>
    </row>
    <row r="52" spans="1:9" x14ac:dyDescent="0.3">
      <c r="A52" s="15">
        <v>135.24122904464355</v>
      </c>
      <c r="B52" s="16">
        <f t="shared" si="0"/>
        <v>14.763249818463628</v>
      </c>
      <c r="C52" s="16">
        <v>29.526499636927255</v>
      </c>
      <c r="D52" s="17">
        <v>94.365420167936961</v>
      </c>
      <c r="E52" s="16">
        <f t="shared" si="1"/>
        <v>7.3326261485387363</v>
      </c>
      <c r="F52" s="16">
        <v>14.665252297077473</v>
      </c>
      <c r="G52" s="16">
        <v>134.26051879029399</v>
      </c>
      <c r="H52" s="16">
        <f t="shared" si="2"/>
        <v>27.24195973251846</v>
      </c>
      <c r="I52" s="18">
        <v>54.483919465036919</v>
      </c>
    </row>
    <row r="53" spans="1:9" x14ac:dyDescent="0.3">
      <c r="A53" s="15">
        <v>163.84104712338691</v>
      </c>
      <c r="B53" s="16">
        <f t="shared" si="0"/>
        <v>70.853457550678428</v>
      </c>
      <c r="C53" s="16">
        <v>141.70691510135686</v>
      </c>
      <c r="D53" s="17">
        <v>94.452619632649146</v>
      </c>
      <c r="E53" s="16">
        <f t="shared" si="1"/>
        <v>11.909850197752412</v>
      </c>
      <c r="F53" s="16">
        <v>23.819700395504825</v>
      </c>
      <c r="G53" s="16">
        <v>134.37687005119469</v>
      </c>
      <c r="H53" s="16">
        <f t="shared" si="2"/>
        <v>14.50199075721136</v>
      </c>
      <c r="I53" s="18">
        <v>29.003981514422719</v>
      </c>
    </row>
    <row r="54" spans="1:9" x14ac:dyDescent="0.3">
      <c r="A54" s="15">
        <v>177.38775459269047</v>
      </c>
      <c r="B54" s="16">
        <f t="shared" si="0"/>
        <v>32.727671519705737</v>
      </c>
      <c r="C54" s="16">
        <v>65.455343039411474</v>
      </c>
      <c r="D54" s="17">
        <v>94.461373331750011</v>
      </c>
      <c r="E54" s="16">
        <f t="shared" si="1"/>
        <v>7.2611049467465776</v>
      </c>
      <c r="F54" s="16">
        <v>14.522209893493155</v>
      </c>
      <c r="G54" s="16">
        <v>135.53479530559429</v>
      </c>
      <c r="H54" s="16">
        <f t="shared" si="2"/>
        <v>27.11243385853971</v>
      </c>
      <c r="I54" s="18">
        <v>54.22486771707942</v>
      </c>
    </row>
    <row r="55" spans="1:9" x14ac:dyDescent="0.3">
      <c r="A55" s="15">
        <v>185.44176289715745</v>
      </c>
      <c r="B55" s="16">
        <f t="shared" si="0"/>
        <v>115.01488433338477</v>
      </c>
      <c r="C55" s="16">
        <v>230.02976866676954</v>
      </c>
      <c r="D55" s="17">
        <v>94.492895633650974</v>
      </c>
      <c r="E55" s="16">
        <f t="shared" si="1"/>
        <v>7.4267373049780261</v>
      </c>
      <c r="F55" s="16">
        <v>14.853474609956052</v>
      </c>
      <c r="G55" s="16">
        <v>136.67696494810829</v>
      </c>
      <c r="H55" s="16">
        <f t="shared" si="2"/>
        <v>27.9412143349969</v>
      </c>
      <c r="I55" s="18">
        <v>55.8824286699938</v>
      </c>
    </row>
    <row r="56" spans="1:9" x14ac:dyDescent="0.3">
      <c r="A56" s="15">
        <v>267.43007996920903</v>
      </c>
      <c r="B56" s="16">
        <f t="shared" si="0"/>
        <v>77.844777006123834</v>
      </c>
      <c r="C56" s="16">
        <v>155.68955401224767</v>
      </c>
      <c r="D56" s="17">
        <v>94.54631078641296</v>
      </c>
      <c r="E56" s="16">
        <f t="shared" si="1"/>
        <v>6.3865760505586948</v>
      </c>
      <c r="F56" s="16">
        <v>12.77315210111739</v>
      </c>
      <c r="G56" s="16">
        <v>136.82451131709709</v>
      </c>
      <c r="H56" s="16">
        <f t="shared" si="2"/>
        <v>21.3682392037786</v>
      </c>
      <c r="I56" s="18">
        <v>42.7364784075572</v>
      </c>
    </row>
    <row r="57" spans="1:9" x14ac:dyDescent="0.3">
      <c r="A57" s="19"/>
      <c r="B57" s="16"/>
      <c r="C57" s="16"/>
      <c r="D57" s="17">
        <v>95.273207063956249</v>
      </c>
      <c r="E57" s="16">
        <f t="shared" si="1"/>
        <v>11.599424000744222</v>
      </c>
      <c r="F57" s="16">
        <v>23.198848001488443</v>
      </c>
      <c r="G57" s="16">
        <v>137.48348248988211</v>
      </c>
      <c r="H57" s="16">
        <f t="shared" si="2"/>
        <v>15.268589740731461</v>
      </c>
      <c r="I57" s="18">
        <v>30.537179481462921</v>
      </c>
    </row>
    <row r="58" spans="1:9" x14ac:dyDescent="0.3">
      <c r="A58" s="19"/>
      <c r="B58" s="16"/>
      <c r="C58" s="16"/>
      <c r="D58" s="17">
        <v>95.592979597541742</v>
      </c>
      <c r="E58" s="16">
        <f t="shared" si="1"/>
        <v>9.1894915549667715</v>
      </c>
      <c r="F58" s="16">
        <v>18.378983109933543</v>
      </c>
      <c r="G58" s="16">
        <v>138.15892599259311</v>
      </c>
      <c r="H58" s="16">
        <f t="shared" si="2"/>
        <v>22.04543877711988</v>
      </c>
      <c r="I58" s="18">
        <v>44.090877554239761</v>
      </c>
    </row>
    <row r="59" spans="1:9" x14ac:dyDescent="0.3">
      <c r="A59" s="19"/>
      <c r="B59" s="16"/>
      <c r="C59" s="16"/>
      <c r="D59" s="17">
        <v>97.144493295788777</v>
      </c>
      <c r="E59" s="16">
        <f t="shared" si="1"/>
        <v>9.8885181842201249</v>
      </c>
      <c r="F59" s="16">
        <v>19.77703636844025</v>
      </c>
      <c r="G59" s="16">
        <v>138.6052913199926</v>
      </c>
      <c r="H59" s="16">
        <f t="shared" si="2"/>
        <v>37.139347713646863</v>
      </c>
      <c r="I59" s="18">
        <v>74.278695427293727</v>
      </c>
    </row>
    <row r="60" spans="1:9" x14ac:dyDescent="0.3">
      <c r="A60" s="19"/>
      <c r="B60" s="16"/>
      <c r="C60" s="16"/>
      <c r="D60" s="17">
        <v>97.20232264517368</v>
      </c>
      <c r="E60" s="16">
        <f t="shared" si="1"/>
        <v>7.8521440658196369</v>
      </c>
      <c r="F60" s="16">
        <v>15.704288131639274</v>
      </c>
      <c r="G60" s="16">
        <v>138.92013156447669</v>
      </c>
      <c r="H60" s="16">
        <f t="shared" si="2"/>
        <v>41.219161826147271</v>
      </c>
      <c r="I60" s="18">
        <v>82.438323652294542</v>
      </c>
    </row>
    <row r="61" spans="1:9" x14ac:dyDescent="0.3">
      <c r="A61" s="19"/>
      <c r="B61" s="16"/>
      <c r="C61" s="16"/>
      <c r="D61" s="17">
        <v>97.335457267402759</v>
      </c>
      <c r="E61" s="16">
        <f t="shared" si="1"/>
        <v>7.4868775686249336</v>
      </c>
      <c r="F61" s="16">
        <v>14.973755137249867</v>
      </c>
      <c r="G61" s="16">
        <v>140.16759094277691</v>
      </c>
      <c r="H61" s="16">
        <f t="shared" si="2"/>
        <v>65.686133418129458</v>
      </c>
      <c r="I61" s="18">
        <v>131.37226683625892</v>
      </c>
    </row>
    <row r="62" spans="1:9" x14ac:dyDescent="0.3">
      <c r="A62" s="19"/>
      <c r="B62" s="16"/>
      <c r="C62" s="16"/>
      <c r="D62" s="17">
        <v>97.411249900786586</v>
      </c>
      <c r="E62" s="16">
        <f t="shared" si="1"/>
        <v>31.897918217582394</v>
      </c>
      <c r="F62" s="16">
        <v>63.795836435164787</v>
      </c>
      <c r="G62" s="16">
        <v>140.71892104387669</v>
      </c>
      <c r="H62" s="16">
        <f t="shared" si="2"/>
        <v>50.972103907647217</v>
      </c>
      <c r="I62" s="18">
        <v>101.94420781529443</v>
      </c>
    </row>
    <row r="63" spans="1:9" x14ac:dyDescent="0.3">
      <c r="A63" s="19"/>
      <c r="B63" s="16"/>
      <c r="C63" s="16"/>
      <c r="D63" s="17">
        <v>98.452163378975058</v>
      </c>
      <c r="E63" s="16">
        <f t="shared" si="1"/>
        <v>16.689037769287012</v>
      </c>
      <c r="F63" s="16">
        <v>33.378075538574024</v>
      </c>
      <c r="G63" s="16">
        <v>140.8809763733432</v>
      </c>
      <c r="H63" s="16">
        <f t="shared" si="2"/>
        <v>15.05941747657306</v>
      </c>
      <c r="I63" s="18">
        <v>30.11883495314612</v>
      </c>
    </row>
    <row r="64" spans="1:9" x14ac:dyDescent="0.3">
      <c r="A64" s="19"/>
      <c r="B64" s="16"/>
      <c r="C64" s="16"/>
      <c r="D64" s="17">
        <v>98.518511092493156</v>
      </c>
      <c r="E64" s="16">
        <f t="shared" si="1"/>
        <v>15.764540659292656</v>
      </c>
      <c r="F64" s="16">
        <v>31.529081318585312</v>
      </c>
      <c r="G64" s="16">
        <v>144.06741625997239</v>
      </c>
      <c r="H64" s="16">
        <f t="shared" si="2"/>
        <v>32.701798304663392</v>
      </c>
      <c r="I64" s="18">
        <v>65.403596609326783</v>
      </c>
    </row>
    <row r="65" spans="1:9" x14ac:dyDescent="0.3">
      <c r="A65" s="19"/>
      <c r="B65" s="16"/>
      <c r="C65" s="16"/>
      <c r="D65" s="17">
        <v>99.930653621012922</v>
      </c>
      <c r="E65" s="16">
        <f t="shared" si="1"/>
        <v>13.365612574617955</v>
      </c>
      <c r="F65" s="16">
        <v>26.731225149235911</v>
      </c>
      <c r="G65" s="16">
        <v>144.62424381560751</v>
      </c>
      <c r="H65" s="16">
        <f t="shared" si="2"/>
        <v>14.81520616310654</v>
      </c>
      <c r="I65" s="18">
        <v>29.630412326213079</v>
      </c>
    </row>
    <row r="66" spans="1:9" x14ac:dyDescent="0.3">
      <c r="A66" s="19"/>
      <c r="B66" s="16"/>
      <c r="C66" s="16"/>
      <c r="D66" s="17">
        <v>100.00288158834505</v>
      </c>
      <c r="E66" s="16">
        <f t="shared" si="1"/>
        <v>9.3851114976817698</v>
      </c>
      <c r="F66" s="16">
        <v>18.77022299536354</v>
      </c>
      <c r="G66" s="16">
        <v>145.13117762191149</v>
      </c>
      <c r="H66" s="16">
        <f t="shared" si="2"/>
        <v>19.37118741148225</v>
      </c>
      <c r="I66" s="18">
        <v>38.7423748229645</v>
      </c>
    </row>
    <row r="67" spans="1:9" x14ac:dyDescent="0.3">
      <c r="A67" s="19"/>
      <c r="B67" s="16"/>
      <c r="C67" s="16"/>
      <c r="D67" s="17">
        <v>100.68718651272482</v>
      </c>
      <c r="E67" s="16">
        <f t="shared" si="1"/>
        <v>6.3996283220201207</v>
      </c>
      <c r="F67" s="16">
        <v>12.799256644040241</v>
      </c>
      <c r="G67" s="16">
        <v>145.30017605253161</v>
      </c>
      <c r="H67" s="16">
        <f t="shared" si="2"/>
        <v>19.075036698326961</v>
      </c>
      <c r="I67" s="18">
        <v>38.150073396653923</v>
      </c>
    </row>
    <row r="68" spans="1:9" x14ac:dyDescent="0.3">
      <c r="A68" s="19"/>
      <c r="B68" s="16"/>
      <c r="C68" s="16"/>
      <c r="D68" s="17">
        <v>100.88075807409716</v>
      </c>
      <c r="E68" s="16">
        <f t="shared" si="1"/>
        <v>11.961468918420849</v>
      </c>
      <c r="F68" s="16">
        <v>23.922937836841697</v>
      </c>
      <c r="G68" s="16">
        <v>148.5256026239565</v>
      </c>
      <c r="H68" s="16">
        <f t="shared" si="2"/>
        <v>40.288635940307159</v>
      </c>
      <c r="I68" s="18">
        <v>80.577271880614319</v>
      </c>
    </row>
    <row r="69" spans="1:9" x14ac:dyDescent="0.3">
      <c r="A69" s="19"/>
      <c r="B69" s="16"/>
      <c r="C69" s="16"/>
      <c r="D69" s="17">
        <v>102.0959970541157</v>
      </c>
      <c r="E69" s="16">
        <f t="shared" ref="E69:E132" si="3">F69/2</f>
        <v>12.410671957803558</v>
      </c>
      <c r="F69" s="16">
        <v>24.821343915607116</v>
      </c>
      <c r="G69" s="16">
        <v>150.30872920910639</v>
      </c>
      <c r="H69" s="16">
        <f>I69/2</f>
        <v>20.17308528767845</v>
      </c>
      <c r="I69" s="18">
        <v>40.346170575356901</v>
      </c>
    </row>
    <row r="70" spans="1:9" x14ac:dyDescent="0.3">
      <c r="A70" s="19"/>
      <c r="B70" s="16"/>
      <c r="C70" s="16"/>
      <c r="D70" s="17">
        <v>102.3727454983222</v>
      </c>
      <c r="E70" s="16">
        <f t="shared" si="3"/>
        <v>15.764208870840854</v>
      </c>
      <c r="F70" s="16">
        <v>31.528417741681707</v>
      </c>
      <c r="G70" s="16">
        <v>151.12154289230349</v>
      </c>
      <c r="H70" s="16">
        <f>I70/2</f>
        <v>19.930739734736669</v>
      </c>
      <c r="I70" s="18">
        <v>39.861479469473338</v>
      </c>
    </row>
    <row r="71" spans="1:9" x14ac:dyDescent="0.3">
      <c r="A71" s="19"/>
      <c r="B71" s="16"/>
      <c r="C71" s="16"/>
      <c r="D71" s="17">
        <v>102.5489695033324</v>
      </c>
      <c r="E71" s="16">
        <f t="shared" si="3"/>
        <v>15.17484020248218</v>
      </c>
      <c r="F71" s="16">
        <v>30.34968040496436</v>
      </c>
      <c r="G71" s="16">
        <v>152.25364923701829</v>
      </c>
      <c r="H71" s="16">
        <f>I71/2</f>
        <v>23.8087668366652</v>
      </c>
      <c r="I71" s="18">
        <v>47.617533673330399</v>
      </c>
    </row>
    <row r="72" spans="1:9" x14ac:dyDescent="0.3">
      <c r="A72" s="19"/>
      <c r="B72" s="16"/>
      <c r="C72" s="16"/>
      <c r="D72" s="17">
        <v>102.57217317231911</v>
      </c>
      <c r="E72" s="16">
        <f t="shared" si="3"/>
        <v>7.1052427504905964</v>
      </c>
      <c r="F72" s="16">
        <v>14.210485500981193</v>
      </c>
      <c r="G72" s="16">
        <v>154.50315547464109</v>
      </c>
      <c r="H72" s="16">
        <f>I72/2</f>
        <v>24.222046274826319</v>
      </c>
      <c r="I72" s="18">
        <v>48.444092549652638</v>
      </c>
    </row>
    <row r="73" spans="1:9" x14ac:dyDescent="0.3">
      <c r="A73" s="19"/>
      <c r="B73" s="16"/>
      <c r="C73" s="16"/>
      <c r="D73" s="17">
        <v>102.75841461160589</v>
      </c>
      <c r="E73" s="16">
        <f t="shared" si="3"/>
        <v>8.2175146504929586</v>
      </c>
      <c r="F73" s="16">
        <v>16.435029300985917</v>
      </c>
      <c r="G73" s="16">
        <v>160.49389669641249</v>
      </c>
      <c r="H73" s="16">
        <f>I73/2</f>
        <v>38.048246476928909</v>
      </c>
      <c r="I73" s="18">
        <v>76.096492953857819</v>
      </c>
    </row>
    <row r="74" spans="1:9" x14ac:dyDescent="0.3">
      <c r="A74" s="19"/>
      <c r="B74" s="16"/>
      <c r="C74" s="16"/>
      <c r="D74" s="17">
        <v>102.91576214828221</v>
      </c>
      <c r="E74" s="16">
        <f t="shared" si="3"/>
        <v>12.402140998213895</v>
      </c>
      <c r="F74" s="16">
        <v>24.80428199642779</v>
      </c>
      <c r="G74" s="16">
        <v>163.72058586187021</v>
      </c>
      <c r="H74" s="16">
        <f>I74/2</f>
        <v>14.119103367365151</v>
      </c>
      <c r="I74" s="18">
        <v>28.238206734730301</v>
      </c>
    </row>
    <row r="75" spans="1:9" x14ac:dyDescent="0.3">
      <c r="A75" s="19"/>
      <c r="B75" s="16"/>
      <c r="C75" s="16"/>
      <c r="D75" s="17">
        <v>103.19251924856503</v>
      </c>
      <c r="E75" s="16">
        <f t="shared" si="3"/>
        <v>11.498225794241947</v>
      </c>
      <c r="F75" s="16">
        <v>22.996451588483893</v>
      </c>
      <c r="G75" s="16">
        <v>166.2664547725997</v>
      </c>
      <c r="H75" s="16">
        <f>I75/2</f>
        <v>17.386421184601929</v>
      </c>
      <c r="I75" s="18">
        <v>34.772842369203858</v>
      </c>
    </row>
    <row r="76" spans="1:9" x14ac:dyDescent="0.3">
      <c r="A76" s="19"/>
      <c r="B76" s="16"/>
      <c r="C76" s="16"/>
      <c r="D76" s="17">
        <v>104.34195420332547</v>
      </c>
      <c r="E76" s="16">
        <f t="shared" si="3"/>
        <v>18.10544637410495</v>
      </c>
      <c r="F76" s="16">
        <v>36.210892748209901</v>
      </c>
      <c r="G76" s="16">
        <v>170.7155141522862</v>
      </c>
      <c r="H76" s="16">
        <f>I76/2</f>
        <v>15.865186970564819</v>
      </c>
      <c r="I76" s="18">
        <v>31.730373941129638</v>
      </c>
    </row>
    <row r="77" spans="1:9" x14ac:dyDescent="0.3">
      <c r="A77" s="19"/>
      <c r="B77" s="16"/>
      <c r="C77" s="16"/>
      <c r="D77" s="17">
        <v>104.53487908144596</v>
      </c>
      <c r="E77" s="16">
        <f t="shared" si="3"/>
        <v>12.712504620543285</v>
      </c>
      <c r="F77" s="16">
        <v>25.42500924108657</v>
      </c>
      <c r="G77" s="16">
        <v>174.9900624843244</v>
      </c>
      <c r="H77" s="16">
        <f>I77/2</f>
        <v>38.813759278152077</v>
      </c>
      <c r="I77" s="18">
        <v>77.627518556304153</v>
      </c>
    </row>
    <row r="78" spans="1:9" x14ac:dyDescent="0.3">
      <c r="A78" s="19"/>
      <c r="B78" s="16"/>
      <c r="C78" s="16"/>
      <c r="D78" s="17">
        <v>104.73213826948081</v>
      </c>
      <c r="E78" s="16">
        <f t="shared" si="3"/>
        <v>22.234056927654159</v>
      </c>
      <c r="F78" s="16">
        <v>44.468113855308317</v>
      </c>
      <c r="G78" s="16">
        <v>175.36259010040101</v>
      </c>
      <c r="H78" s="16">
        <f>I78/2</f>
        <v>21.702407872429891</v>
      </c>
      <c r="I78" s="18">
        <v>43.404815744859782</v>
      </c>
    </row>
    <row r="79" spans="1:9" x14ac:dyDescent="0.3">
      <c r="A79" s="19"/>
      <c r="B79" s="16"/>
      <c r="C79" s="16"/>
      <c r="D79" s="17">
        <v>105.4163519473845</v>
      </c>
      <c r="E79" s="16">
        <f t="shared" si="3"/>
        <v>8.3031599223839763</v>
      </c>
      <c r="F79" s="16">
        <v>16.606319844767953</v>
      </c>
      <c r="G79" s="16">
        <v>178.49558114144341</v>
      </c>
      <c r="H79" s="16">
        <f>I79/2</f>
        <v>17.270149160557729</v>
      </c>
      <c r="I79" s="18">
        <v>34.540298321115458</v>
      </c>
    </row>
    <row r="80" spans="1:9" x14ac:dyDescent="0.3">
      <c r="A80" s="19"/>
      <c r="B80" s="16"/>
      <c r="C80" s="16"/>
      <c r="D80" s="17">
        <v>105.61617777423911</v>
      </c>
      <c r="E80" s="16">
        <f t="shared" si="3"/>
        <v>9.0657709898440899</v>
      </c>
      <c r="F80" s="16">
        <v>18.13154197968818</v>
      </c>
      <c r="G80" s="16">
        <v>178.89997283925709</v>
      </c>
      <c r="H80" s="16">
        <f>I80/2</f>
        <v>21.959118669081519</v>
      </c>
      <c r="I80" s="18">
        <v>43.918237338163038</v>
      </c>
    </row>
    <row r="81" spans="1:9" x14ac:dyDescent="0.3">
      <c r="A81" s="19"/>
      <c r="B81" s="16"/>
      <c r="C81" s="16"/>
      <c r="D81" s="17">
        <v>105.85334777839748</v>
      </c>
      <c r="E81" s="16">
        <f t="shared" si="3"/>
        <v>11.806696066177125</v>
      </c>
      <c r="F81" s="16">
        <v>23.613392132354249</v>
      </c>
      <c r="G81" s="16">
        <v>181.2754395374748</v>
      </c>
      <c r="H81" s="16">
        <f>I81/2</f>
        <v>24.599956048781991</v>
      </c>
      <c r="I81" s="18">
        <v>49.199912097563981</v>
      </c>
    </row>
    <row r="82" spans="1:9" x14ac:dyDescent="0.3">
      <c r="A82" s="19"/>
      <c r="B82" s="16"/>
      <c r="C82" s="16"/>
      <c r="D82" s="17">
        <v>106.01584903417186</v>
      </c>
      <c r="E82" s="16">
        <f t="shared" si="3"/>
        <v>7.7363937764736619</v>
      </c>
      <c r="F82" s="16">
        <v>15.472787552947324</v>
      </c>
      <c r="G82" s="16">
        <v>186.59749310017369</v>
      </c>
      <c r="H82" s="16">
        <f>I82/2</f>
        <v>32.987662834656199</v>
      </c>
      <c r="I82" s="18">
        <v>65.975325669312397</v>
      </c>
    </row>
    <row r="83" spans="1:9" x14ac:dyDescent="0.3">
      <c r="A83" s="19"/>
      <c r="B83" s="16"/>
      <c r="C83" s="16"/>
      <c r="D83" s="17">
        <v>106.37644274070675</v>
      </c>
      <c r="E83" s="16">
        <f t="shared" si="3"/>
        <v>21.100433354466318</v>
      </c>
      <c r="F83" s="16">
        <v>42.200866708932637</v>
      </c>
      <c r="G83" s="16">
        <v>188.37745015914479</v>
      </c>
      <c r="H83" s="16">
        <f>I83/2</f>
        <v>17.80693904410461</v>
      </c>
      <c r="I83" s="18">
        <v>35.613878088209219</v>
      </c>
    </row>
    <row r="84" spans="1:9" x14ac:dyDescent="0.3">
      <c r="A84" s="19"/>
      <c r="B84" s="16"/>
      <c r="C84" s="16"/>
      <c r="D84" s="17">
        <v>106.75660696971303</v>
      </c>
      <c r="E84" s="16">
        <f t="shared" si="3"/>
        <v>9.2444612529455412</v>
      </c>
      <c r="F84" s="16">
        <v>18.488922505891082</v>
      </c>
      <c r="G84" s="16">
        <v>188.5762907803576</v>
      </c>
      <c r="H84" s="16">
        <f>I84/2</f>
        <v>24.647160810767289</v>
      </c>
      <c r="I84" s="18">
        <v>49.294321621534579</v>
      </c>
    </row>
    <row r="85" spans="1:9" x14ac:dyDescent="0.3">
      <c r="A85" s="19"/>
      <c r="B85" s="16"/>
      <c r="C85" s="16"/>
      <c r="D85" s="17">
        <v>107.08190652482658</v>
      </c>
      <c r="E85" s="16">
        <f t="shared" si="3"/>
        <v>8.4037819543225325</v>
      </c>
      <c r="F85" s="16">
        <v>16.807563908645065</v>
      </c>
      <c r="G85" s="16">
        <v>190.83364314690519</v>
      </c>
      <c r="H85" s="16">
        <f>I85/2</f>
        <v>15.791754855826371</v>
      </c>
      <c r="I85" s="18">
        <v>31.583509711652741</v>
      </c>
    </row>
    <row r="86" spans="1:9" x14ac:dyDescent="0.3">
      <c r="A86" s="19"/>
      <c r="B86" s="16"/>
      <c r="C86" s="16"/>
      <c r="D86" s="17">
        <v>107.14478881879762</v>
      </c>
      <c r="E86" s="16">
        <f t="shared" si="3"/>
        <v>7.7941295533167647</v>
      </c>
      <c r="F86" s="16">
        <v>15.588259106633529</v>
      </c>
      <c r="G86" s="16">
        <v>193.08461083034501</v>
      </c>
      <c r="H86" s="16">
        <f>I86/2</f>
        <v>68.258330901682868</v>
      </c>
      <c r="I86" s="18">
        <v>136.51666180336574</v>
      </c>
    </row>
    <row r="87" spans="1:9" x14ac:dyDescent="0.3">
      <c r="A87" s="19"/>
      <c r="B87" s="16"/>
      <c r="C87" s="16"/>
      <c r="D87" s="17">
        <v>107.60038695104154</v>
      </c>
      <c r="E87" s="16">
        <f t="shared" si="3"/>
        <v>13.402934357435086</v>
      </c>
      <c r="F87" s="16">
        <v>26.805868714870172</v>
      </c>
      <c r="G87" s="16">
        <v>193.98412667826469</v>
      </c>
      <c r="H87" s="16">
        <f>I87/2</f>
        <v>24.4334989811993</v>
      </c>
      <c r="I87" s="18">
        <v>48.866997962398599</v>
      </c>
    </row>
    <row r="88" spans="1:9" x14ac:dyDescent="0.3">
      <c r="A88" s="19"/>
      <c r="B88" s="16"/>
      <c r="C88" s="16"/>
      <c r="D88" s="17">
        <v>107.64850018909948</v>
      </c>
      <c r="E88" s="16">
        <f t="shared" si="3"/>
        <v>12.514055964650368</v>
      </c>
      <c r="F88" s="16">
        <v>25.028111929300735</v>
      </c>
      <c r="G88" s="16">
        <v>194.9751170175351</v>
      </c>
      <c r="H88" s="16">
        <f>I88/2</f>
        <v>46.852957105114143</v>
      </c>
      <c r="I88" s="18">
        <v>93.705914210228286</v>
      </c>
    </row>
    <row r="89" spans="1:9" x14ac:dyDescent="0.3">
      <c r="A89" s="19"/>
      <c r="B89" s="16"/>
      <c r="C89" s="16"/>
      <c r="D89" s="17">
        <v>108.33085600843341</v>
      </c>
      <c r="E89" s="16">
        <f t="shared" si="3"/>
        <v>9.0571583987948117</v>
      </c>
      <c r="F89" s="16">
        <v>18.114316797589623</v>
      </c>
      <c r="G89" s="16">
        <v>195.1830494858398</v>
      </c>
      <c r="H89" s="16">
        <f>I89/2</f>
        <v>22.002393183392979</v>
      </c>
      <c r="I89" s="18">
        <v>44.004786366785957</v>
      </c>
    </row>
    <row r="90" spans="1:9" x14ac:dyDescent="0.3">
      <c r="A90" s="19"/>
      <c r="B90" s="16"/>
      <c r="C90" s="16"/>
      <c r="D90" s="17">
        <v>108.57710688071843</v>
      </c>
      <c r="E90" s="16">
        <f t="shared" si="3"/>
        <v>16.798333919785257</v>
      </c>
      <c r="F90" s="16">
        <v>33.596667839570515</v>
      </c>
      <c r="G90" s="16">
        <v>195.31447786590309</v>
      </c>
      <c r="H90" s="16">
        <f>I90/2</f>
        <v>41.384731511694142</v>
      </c>
      <c r="I90" s="18">
        <v>82.769463023388283</v>
      </c>
    </row>
    <row r="91" spans="1:9" x14ac:dyDescent="0.3">
      <c r="A91" s="19"/>
      <c r="B91" s="16"/>
      <c r="C91" s="16"/>
      <c r="D91" s="17">
        <v>108.87360048710593</v>
      </c>
      <c r="E91" s="16">
        <f t="shared" si="3"/>
        <v>25.473434867747372</v>
      </c>
      <c r="F91" s="16">
        <v>50.946869735494744</v>
      </c>
      <c r="G91" s="16">
        <v>197.50278603092491</v>
      </c>
      <c r="H91" s="16">
        <f>I91/2</f>
        <v>28.951105040675799</v>
      </c>
      <c r="I91" s="18">
        <v>57.902210081351598</v>
      </c>
    </row>
    <row r="92" spans="1:9" x14ac:dyDescent="0.3">
      <c r="A92" s="19"/>
      <c r="B92" s="16"/>
      <c r="C92" s="16"/>
      <c r="D92" s="17">
        <v>108.93461561808508</v>
      </c>
      <c r="E92" s="16">
        <f t="shared" si="3"/>
        <v>8.2375865218752793</v>
      </c>
      <c r="F92" s="16">
        <v>16.475173043750559</v>
      </c>
      <c r="G92" s="16">
        <v>201.26941435310709</v>
      </c>
      <c r="H92" s="16">
        <f>I92/2</f>
        <v>25.886994684795809</v>
      </c>
      <c r="I92" s="18">
        <v>51.773989369591618</v>
      </c>
    </row>
    <row r="93" spans="1:9" x14ac:dyDescent="0.3">
      <c r="A93" s="19"/>
      <c r="B93" s="16"/>
      <c r="C93" s="16"/>
      <c r="D93" s="17">
        <v>109.04787907337528</v>
      </c>
      <c r="E93" s="16">
        <f t="shared" si="3"/>
        <v>16.69640158839853</v>
      </c>
      <c r="F93" s="16">
        <v>33.392803176797059</v>
      </c>
      <c r="G93" s="16">
        <v>202.61026634804469</v>
      </c>
      <c r="H93" s="16">
        <f>I93/2</f>
        <v>12.20706896320025</v>
      </c>
      <c r="I93" s="18">
        <v>24.4141379264005</v>
      </c>
    </row>
    <row r="94" spans="1:9" x14ac:dyDescent="0.3">
      <c r="A94" s="19"/>
      <c r="B94" s="16"/>
      <c r="C94" s="16"/>
      <c r="D94" s="17">
        <v>109.07200326487525</v>
      </c>
      <c r="E94" s="16">
        <f t="shared" si="3"/>
        <v>8.4331908124222537</v>
      </c>
      <c r="F94" s="16">
        <v>16.866381624844507</v>
      </c>
      <c r="G94" s="16">
        <v>203.00505021702901</v>
      </c>
      <c r="H94" s="16">
        <f>I94/2</f>
        <v>25.78188301179696</v>
      </c>
      <c r="I94" s="18">
        <v>51.563766023593921</v>
      </c>
    </row>
    <row r="95" spans="1:9" x14ac:dyDescent="0.3">
      <c r="A95" s="19"/>
      <c r="B95" s="16"/>
      <c r="C95" s="16"/>
      <c r="D95" s="17">
        <v>109.28080364227799</v>
      </c>
      <c r="E95" s="16">
        <f t="shared" si="3"/>
        <v>8.7229238385534273</v>
      </c>
      <c r="F95" s="16">
        <v>17.445847677106855</v>
      </c>
      <c r="G95" s="16">
        <v>203.0892028588718</v>
      </c>
      <c r="H95" s="16">
        <f>I95/2</f>
        <v>24.693133485454521</v>
      </c>
      <c r="I95" s="18">
        <v>49.386266970909041</v>
      </c>
    </row>
    <row r="96" spans="1:9" x14ac:dyDescent="0.3">
      <c r="A96" s="19"/>
      <c r="B96" s="16"/>
      <c r="C96" s="16"/>
      <c r="D96" s="17">
        <v>109.61279569423023</v>
      </c>
      <c r="E96" s="16">
        <f t="shared" si="3"/>
        <v>15.626625009254639</v>
      </c>
      <c r="F96" s="16">
        <v>31.253250018509277</v>
      </c>
      <c r="G96" s="16">
        <v>203.68589336600621</v>
      </c>
      <c r="H96" s="16">
        <f>I96/2</f>
        <v>27.07962866974885</v>
      </c>
      <c r="I96" s="18">
        <v>54.159257339497699</v>
      </c>
    </row>
    <row r="97" spans="1:9" x14ac:dyDescent="0.3">
      <c r="A97" s="19"/>
      <c r="B97" s="16"/>
      <c r="C97" s="16"/>
      <c r="D97" s="17">
        <v>109.75450908237706</v>
      </c>
      <c r="E97" s="16">
        <f t="shared" si="3"/>
        <v>8.4413177481920627</v>
      </c>
      <c r="F97" s="16">
        <v>16.882635496384125</v>
      </c>
      <c r="G97" s="16">
        <v>215.2116981078494</v>
      </c>
      <c r="H97" s="16">
        <f>I97/2</f>
        <v>30.565510717821908</v>
      </c>
      <c r="I97" s="18">
        <v>61.131021435643817</v>
      </c>
    </row>
    <row r="98" spans="1:9" x14ac:dyDescent="0.3">
      <c r="A98" s="19"/>
      <c r="B98" s="16"/>
      <c r="C98" s="16"/>
      <c r="D98" s="17">
        <v>110.49177439827795</v>
      </c>
      <c r="E98" s="16">
        <f t="shared" si="3"/>
        <v>11.288067272038433</v>
      </c>
      <c r="F98" s="16">
        <v>22.576134544076865</v>
      </c>
      <c r="G98" s="16">
        <v>215.47334140554241</v>
      </c>
      <c r="H98" s="16">
        <f>I98/2</f>
        <v>19.04209975688876</v>
      </c>
      <c r="I98" s="18">
        <v>38.08419951377752</v>
      </c>
    </row>
    <row r="99" spans="1:9" x14ac:dyDescent="0.3">
      <c r="A99" s="19"/>
      <c r="B99" s="16"/>
      <c r="C99" s="16"/>
      <c r="D99" s="17">
        <v>110.62727497134505</v>
      </c>
      <c r="E99" s="16">
        <f t="shared" si="3"/>
        <v>8.0167862325693733</v>
      </c>
      <c r="F99" s="16">
        <v>16.033572465138747</v>
      </c>
      <c r="G99" s="16">
        <v>219.35100051258141</v>
      </c>
      <c r="H99" s="16">
        <f>I99/2</f>
        <v>51.995401950477287</v>
      </c>
      <c r="I99" s="18">
        <v>103.99080390095457</v>
      </c>
    </row>
    <row r="100" spans="1:9" x14ac:dyDescent="0.3">
      <c r="A100" s="19"/>
      <c r="B100" s="16"/>
      <c r="C100" s="16"/>
      <c r="D100" s="17">
        <v>111.11057188160638</v>
      </c>
      <c r="E100" s="16">
        <f t="shared" si="3"/>
        <v>18.17131859282425</v>
      </c>
      <c r="F100" s="16">
        <v>36.342637185648499</v>
      </c>
      <c r="G100" s="16">
        <v>227.35932834927999</v>
      </c>
      <c r="H100" s="16">
        <f>I100/2</f>
        <v>13.657968661927139</v>
      </c>
      <c r="I100" s="18">
        <v>27.315937323854278</v>
      </c>
    </row>
    <row r="101" spans="1:9" x14ac:dyDescent="0.3">
      <c r="A101" s="19"/>
      <c r="B101" s="16"/>
      <c r="C101" s="16"/>
      <c r="D101" s="17">
        <v>111.95822903042148</v>
      </c>
      <c r="E101" s="16">
        <f t="shared" si="3"/>
        <v>18.249266849854372</v>
      </c>
      <c r="F101" s="16">
        <v>36.498533699708744</v>
      </c>
      <c r="G101" s="16">
        <v>227.83098568883531</v>
      </c>
      <c r="H101" s="16">
        <f>I101/2</f>
        <v>28.79550189930336</v>
      </c>
      <c r="I101" s="18">
        <v>57.591003798606721</v>
      </c>
    </row>
    <row r="102" spans="1:9" x14ac:dyDescent="0.3">
      <c r="A102" s="19"/>
      <c r="B102" s="16"/>
      <c r="C102" s="16"/>
      <c r="D102" s="17">
        <v>112.26681100819229</v>
      </c>
      <c r="E102" s="16">
        <f t="shared" si="3"/>
        <v>9.6417956985459554</v>
      </c>
      <c r="F102" s="16">
        <v>19.283591397091911</v>
      </c>
      <c r="G102" s="16">
        <v>228.15625848103741</v>
      </c>
      <c r="H102" s="16">
        <f>I102/2</f>
        <v>21.320974402511819</v>
      </c>
      <c r="I102" s="18">
        <v>42.641948805023638</v>
      </c>
    </row>
    <row r="103" spans="1:9" x14ac:dyDescent="0.3">
      <c r="A103" s="19"/>
      <c r="B103" s="16"/>
      <c r="C103" s="16"/>
      <c r="D103" s="17">
        <v>113.28095741144853</v>
      </c>
      <c r="E103" s="16">
        <f t="shared" si="3"/>
        <v>16.843665685816461</v>
      </c>
      <c r="F103" s="16">
        <v>33.687331371632922</v>
      </c>
      <c r="G103" s="16">
        <v>233.50582397730861</v>
      </c>
      <c r="H103" s="16">
        <f>I103/2</f>
        <v>27.25539461775654</v>
      </c>
      <c r="I103" s="18">
        <v>54.51078923551308</v>
      </c>
    </row>
    <row r="104" spans="1:9" x14ac:dyDescent="0.3">
      <c r="A104" s="19"/>
      <c r="B104" s="16"/>
      <c r="C104" s="16"/>
      <c r="D104" s="17">
        <v>113.8693227134781</v>
      </c>
      <c r="E104" s="16">
        <f t="shared" si="3"/>
        <v>10.571938744897558</v>
      </c>
      <c r="F104" s="16">
        <v>21.143877489795116</v>
      </c>
      <c r="G104" s="16">
        <v>235.04984827493689</v>
      </c>
      <c r="H104" s="16">
        <f>I104/2</f>
        <v>21.954134219563041</v>
      </c>
      <c r="I104" s="18">
        <v>43.908268439126083</v>
      </c>
    </row>
    <row r="105" spans="1:9" x14ac:dyDescent="0.3">
      <c r="A105" s="19"/>
      <c r="B105" s="16"/>
      <c r="C105" s="16"/>
      <c r="D105" s="17">
        <v>114.29988247053103</v>
      </c>
      <c r="E105" s="16">
        <f t="shared" si="3"/>
        <v>13.758978521703263</v>
      </c>
      <c r="F105" s="16">
        <v>27.517957043406525</v>
      </c>
      <c r="G105" s="16">
        <v>236.43389494257681</v>
      </c>
      <c r="H105" s="16">
        <f>I105/2</f>
        <v>45.035606346793912</v>
      </c>
      <c r="I105" s="18">
        <v>90.071212693587825</v>
      </c>
    </row>
    <row r="106" spans="1:9" x14ac:dyDescent="0.3">
      <c r="A106" s="19"/>
      <c r="B106" s="16"/>
      <c r="C106" s="16"/>
      <c r="D106" s="17">
        <v>114.49638539262286</v>
      </c>
      <c r="E106" s="16">
        <f t="shared" si="3"/>
        <v>11.253165129794155</v>
      </c>
      <c r="F106" s="16">
        <v>22.50633025958831</v>
      </c>
      <c r="G106" s="16">
        <v>240.7536911901766</v>
      </c>
      <c r="H106" s="16">
        <f>I106/2</f>
        <v>43.322433311055363</v>
      </c>
      <c r="I106" s="18">
        <v>86.644866622110726</v>
      </c>
    </row>
    <row r="107" spans="1:9" x14ac:dyDescent="0.3">
      <c r="A107" s="19"/>
      <c r="B107" s="16"/>
      <c r="C107" s="16"/>
      <c r="D107" s="17">
        <v>114.88619581542065</v>
      </c>
      <c r="E107" s="16">
        <f t="shared" si="3"/>
        <v>13.689825292583194</v>
      </c>
      <c r="F107" s="16">
        <v>27.379650585166388</v>
      </c>
      <c r="G107" s="16">
        <v>244.97185104711241</v>
      </c>
      <c r="H107" s="16">
        <f>I107/2</f>
        <v>12.91278041571813</v>
      </c>
      <c r="I107" s="18">
        <v>25.82556083143626</v>
      </c>
    </row>
    <row r="108" spans="1:9" x14ac:dyDescent="0.3">
      <c r="A108" s="19"/>
      <c r="B108" s="16"/>
      <c r="C108" s="16"/>
      <c r="D108" s="17">
        <v>115.77373986455842</v>
      </c>
      <c r="E108" s="16">
        <f t="shared" si="3"/>
        <v>14.54452280850483</v>
      </c>
      <c r="F108" s="16">
        <v>29.08904561700966</v>
      </c>
      <c r="G108" s="16">
        <v>257.1150958175179</v>
      </c>
      <c r="H108" s="16">
        <f>I108/2</f>
        <v>48.20418677372713</v>
      </c>
      <c r="I108" s="18">
        <v>96.408373547454261</v>
      </c>
    </row>
    <row r="109" spans="1:9" x14ac:dyDescent="0.3">
      <c r="A109" s="19"/>
      <c r="B109" s="16"/>
      <c r="C109" s="16"/>
      <c r="D109" s="17">
        <v>116.65927908996458</v>
      </c>
      <c r="E109" s="16">
        <f t="shared" si="3"/>
        <v>26.422470885329957</v>
      </c>
      <c r="F109" s="16">
        <v>52.844941770659915</v>
      </c>
      <c r="G109" s="16">
        <v>258.44537185996438</v>
      </c>
      <c r="H109" s="16">
        <f>I109/2</f>
        <v>55.921445957226027</v>
      </c>
      <c r="I109" s="18">
        <v>111.84289191445205</v>
      </c>
    </row>
    <row r="110" spans="1:9" x14ac:dyDescent="0.3">
      <c r="A110" s="19"/>
      <c r="B110" s="16"/>
      <c r="C110" s="16"/>
      <c r="D110" s="17">
        <v>117.70003014077355</v>
      </c>
      <c r="E110" s="16">
        <f t="shared" si="3"/>
        <v>12.330300832892732</v>
      </c>
      <c r="F110" s="16">
        <v>24.660601665785464</v>
      </c>
      <c r="G110" s="16">
        <v>259.03407169052917</v>
      </c>
      <c r="H110" s="16">
        <f>I110/2</f>
        <v>15.34617719804481</v>
      </c>
      <c r="I110" s="18">
        <v>30.69235439608962</v>
      </c>
    </row>
    <row r="111" spans="1:9" x14ac:dyDescent="0.3">
      <c r="A111" s="19"/>
      <c r="B111" s="16"/>
      <c r="C111" s="16"/>
      <c r="D111" s="17">
        <v>117.71164735467194</v>
      </c>
      <c r="E111" s="16">
        <f t="shared" si="3"/>
        <v>9.8856250652678881</v>
      </c>
      <c r="F111" s="16">
        <v>19.771250130535776</v>
      </c>
      <c r="G111" s="16">
        <v>259.93791065715311</v>
      </c>
      <c r="H111" s="16">
        <f>I111/2</f>
        <v>16.01993815737006</v>
      </c>
      <c r="I111" s="18">
        <v>32.03987631474012</v>
      </c>
    </row>
    <row r="112" spans="1:9" x14ac:dyDescent="0.3">
      <c r="A112" s="19"/>
      <c r="B112" s="16"/>
      <c r="C112" s="16"/>
      <c r="D112" s="17">
        <v>117.78209241364513</v>
      </c>
      <c r="E112" s="16">
        <f t="shared" si="3"/>
        <v>10.799436042134317</v>
      </c>
      <c r="F112" s="16">
        <v>21.598872084268635</v>
      </c>
      <c r="G112" s="16">
        <v>263.57043300968888</v>
      </c>
      <c r="H112" s="16">
        <f>I112/2</f>
        <v>29.335868874628382</v>
      </c>
      <c r="I112" s="18">
        <v>58.671737749256764</v>
      </c>
    </row>
    <row r="113" spans="1:9" x14ac:dyDescent="0.3">
      <c r="A113" s="19"/>
      <c r="B113" s="16"/>
      <c r="C113" s="16"/>
      <c r="D113" s="17">
        <v>117.88875575143393</v>
      </c>
      <c r="E113" s="16">
        <f t="shared" si="3"/>
        <v>17.788238998921045</v>
      </c>
      <c r="F113" s="16">
        <v>35.57647799784209</v>
      </c>
      <c r="G113" s="16">
        <v>272.50054860883199</v>
      </c>
      <c r="H113" s="16">
        <f>I113/2</f>
        <v>19.746404660125119</v>
      </c>
      <c r="I113" s="18">
        <v>39.492809320250238</v>
      </c>
    </row>
    <row r="114" spans="1:9" x14ac:dyDescent="0.3">
      <c r="A114" s="19"/>
      <c r="B114" s="16"/>
      <c r="C114" s="16"/>
      <c r="D114" s="17">
        <v>118.5848828413213</v>
      </c>
      <c r="E114" s="16">
        <f t="shared" si="3"/>
        <v>23.65565997820466</v>
      </c>
      <c r="F114" s="16">
        <v>47.311319956409321</v>
      </c>
      <c r="G114" s="16">
        <v>273.12821984694449</v>
      </c>
      <c r="H114" s="16">
        <f>I114/2</f>
        <v>17.16383712799459</v>
      </c>
      <c r="I114" s="18">
        <v>34.32767425598918</v>
      </c>
    </row>
    <row r="115" spans="1:9" x14ac:dyDescent="0.3">
      <c r="A115" s="19"/>
      <c r="B115" s="16"/>
      <c r="C115" s="16"/>
      <c r="D115" s="17">
        <v>119.35977420212615</v>
      </c>
      <c r="E115" s="16">
        <f t="shared" si="3"/>
        <v>8.8370112901122297</v>
      </c>
      <c r="F115" s="16">
        <v>17.674022580224459</v>
      </c>
      <c r="G115" s="16">
        <v>286.29451475523581</v>
      </c>
      <c r="H115" s="16">
        <f>I115/2</f>
        <v>25.622033359549281</v>
      </c>
      <c r="I115" s="18">
        <v>51.244066719098562</v>
      </c>
    </row>
    <row r="116" spans="1:9" x14ac:dyDescent="0.3">
      <c r="A116" s="19"/>
      <c r="B116" s="16"/>
      <c r="C116" s="16"/>
      <c r="D116" s="17">
        <v>119.50079950222515</v>
      </c>
      <c r="E116" s="16">
        <f t="shared" si="3"/>
        <v>10.435793269852248</v>
      </c>
      <c r="F116" s="16">
        <v>20.871586539704495</v>
      </c>
      <c r="G116" s="16">
        <v>291.5496204377701</v>
      </c>
      <c r="H116" s="16">
        <f>I116/2</f>
        <v>42.62614135413088</v>
      </c>
      <c r="I116" s="18">
        <v>85.25228270826176</v>
      </c>
    </row>
    <row r="117" spans="1:9" x14ac:dyDescent="0.3">
      <c r="A117" s="19"/>
      <c r="B117" s="16"/>
      <c r="C117" s="16"/>
      <c r="D117" s="17">
        <v>120.21186012425783</v>
      </c>
      <c r="E117" s="16">
        <f t="shared" si="3"/>
        <v>8.992098075664039</v>
      </c>
      <c r="F117" s="16">
        <v>17.984196151328078</v>
      </c>
      <c r="G117" s="16">
        <v>299.38237362231439</v>
      </c>
      <c r="H117" s="16">
        <f>I117/2</f>
        <v>9.3457523724534468</v>
      </c>
      <c r="I117" s="18">
        <v>18.691504744906894</v>
      </c>
    </row>
    <row r="118" spans="1:9" x14ac:dyDescent="0.3">
      <c r="A118" s="19"/>
      <c r="B118" s="16"/>
      <c r="C118" s="16"/>
      <c r="D118" s="17">
        <v>122.02342783784215</v>
      </c>
      <c r="E118" s="16">
        <f t="shared" si="3"/>
        <v>11.781679328945692</v>
      </c>
      <c r="F118" s="16">
        <v>23.563358657891385</v>
      </c>
      <c r="G118" s="16">
        <v>311.96230795665838</v>
      </c>
      <c r="H118" s="16">
        <f>I118/2</f>
        <v>51.337054374425293</v>
      </c>
      <c r="I118" s="18">
        <v>102.67410874885059</v>
      </c>
    </row>
    <row r="119" spans="1:9" x14ac:dyDescent="0.3">
      <c r="A119" s="19"/>
      <c r="B119" s="16"/>
      <c r="C119" s="16"/>
      <c r="D119" s="17">
        <v>122.15020873674355</v>
      </c>
      <c r="E119" s="16">
        <f t="shared" si="3"/>
        <v>15.789124234856125</v>
      </c>
      <c r="F119" s="16">
        <v>31.57824846971225</v>
      </c>
      <c r="G119" s="16">
        <v>312.69095761219188</v>
      </c>
      <c r="H119" s="16">
        <f>I119/2</f>
        <v>21.218910075099782</v>
      </c>
      <c r="I119" s="18">
        <v>42.437820150199563</v>
      </c>
    </row>
    <row r="120" spans="1:9" x14ac:dyDescent="0.3">
      <c r="A120" s="19"/>
      <c r="B120" s="16"/>
      <c r="C120" s="16"/>
      <c r="D120" s="17">
        <v>124.21910712042005</v>
      </c>
      <c r="E120" s="16">
        <f t="shared" si="3"/>
        <v>25.617325065616285</v>
      </c>
      <c r="F120" s="16">
        <v>51.23465013123257</v>
      </c>
      <c r="G120" s="16">
        <v>318.86154343100912</v>
      </c>
      <c r="H120" s="16">
        <f>I120/2</f>
        <v>48.239779377968858</v>
      </c>
      <c r="I120" s="18">
        <v>96.479558755937717</v>
      </c>
    </row>
    <row r="121" spans="1:9" x14ac:dyDescent="0.3">
      <c r="A121" s="19"/>
      <c r="B121" s="16"/>
      <c r="C121" s="16"/>
      <c r="D121" s="17">
        <v>126.41395347877463</v>
      </c>
      <c r="E121" s="16">
        <f t="shared" si="3"/>
        <v>11.511457014596807</v>
      </c>
      <c r="F121" s="16">
        <v>23.022914029193615</v>
      </c>
      <c r="G121" s="16">
        <v>391.18253064277781</v>
      </c>
      <c r="H121" s="16">
        <f>I121/2</f>
        <v>77.070572699234503</v>
      </c>
      <c r="I121" s="18">
        <v>154.14114539846901</v>
      </c>
    </row>
    <row r="122" spans="1:9" x14ac:dyDescent="0.3">
      <c r="A122" s="19"/>
      <c r="B122" s="16"/>
      <c r="C122" s="16"/>
      <c r="D122" s="17">
        <v>126.95966719528504</v>
      </c>
      <c r="E122" s="16">
        <f t="shared" si="3"/>
        <v>11.562536072611159</v>
      </c>
      <c r="F122" s="16">
        <v>23.125072145222319</v>
      </c>
      <c r="G122" s="16"/>
      <c r="H122" s="16"/>
      <c r="I122" s="18"/>
    </row>
    <row r="123" spans="1:9" x14ac:dyDescent="0.3">
      <c r="A123" s="19"/>
      <c r="B123" s="16"/>
      <c r="C123" s="16"/>
      <c r="D123" s="17">
        <v>129.32044610845097</v>
      </c>
      <c r="E123" s="16">
        <f t="shared" si="3"/>
        <v>29.269359978169227</v>
      </c>
      <c r="F123" s="16">
        <v>58.538719956338454</v>
      </c>
      <c r="G123" s="16"/>
      <c r="H123" s="16"/>
      <c r="I123" s="18"/>
    </row>
    <row r="124" spans="1:9" x14ac:dyDescent="0.3">
      <c r="A124" s="19"/>
      <c r="B124" s="16"/>
      <c r="C124" s="16"/>
      <c r="D124" s="17">
        <v>131.77708738318026</v>
      </c>
      <c r="E124" s="16">
        <f t="shared" si="3"/>
        <v>10.441575622336046</v>
      </c>
      <c r="F124" s="16">
        <v>20.883151244672092</v>
      </c>
      <c r="G124" s="16"/>
      <c r="H124" s="16"/>
      <c r="I124" s="18"/>
    </row>
    <row r="125" spans="1:9" x14ac:dyDescent="0.3">
      <c r="A125" s="19"/>
      <c r="B125" s="16"/>
      <c r="C125" s="16"/>
      <c r="D125" s="17">
        <v>136.04047623055115</v>
      </c>
      <c r="E125" s="16">
        <f t="shared" si="3"/>
        <v>16.425243680426362</v>
      </c>
      <c r="F125" s="16">
        <v>32.850487360852725</v>
      </c>
      <c r="G125" s="16"/>
      <c r="H125" s="16"/>
      <c r="I125" s="18"/>
    </row>
    <row r="126" spans="1:9" x14ac:dyDescent="0.3">
      <c r="A126" s="19"/>
      <c r="B126" s="16"/>
      <c r="C126" s="16"/>
      <c r="D126" s="17">
        <v>136.60925632443562</v>
      </c>
      <c r="E126" s="16">
        <f t="shared" si="3"/>
        <v>16.282148476213187</v>
      </c>
      <c r="F126" s="16">
        <v>32.564296952426375</v>
      </c>
      <c r="G126" s="16"/>
      <c r="H126" s="16"/>
      <c r="I126" s="18"/>
    </row>
    <row r="127" spans="1:9" x14ac:dyDescent="0.3">
      <c r="A127" s="19"/>
      <c r="B127" s="16"/>
      <c r="C127" s="16"/>
      <c r="D127" s="17">
        <v>136.73791269052603</v>
      </c>
      <c r="E127" s="16">
        <f t="shared" si="3"/>
        <v>15.239820982483856</v>
      </c>
      <c r="F127" s="16">
        <v>30.479641964967712</v>
      </c>
      <c r="G127" s="16"/>
      <c r="H127" s="16"/>
      <c r="I127" s="18"/>
    </row>
    <row r="128" spans="1:9" x14ac:dyDescent="0.3">
      <c r="A128" s="19"/>
      <c r="B128" s="16"/>
      <c r="C128" s="16"/>
      <c r="D128" s="17">
        <v>137.89949051535487</v>
      </c>
      <c r="E128" s="16">
        <f t="shared" si="3"/>
        <v>50.11053298186723</v>
      </c>
      <c r="F128" s="16">
        <v>100.22106596373446</v>
      </c>
      <c r="G128" s="16"/>
      <c r="H128" s="16"/>
      <c r="I128" s="18"/>
    </row>
    <row r="129" spans="1:9" x14ac:dyDescent="0.3">
      <c r="A129" s="19"/>
      <c r="B129" s="16"/>
      <c r="C129" s="16"/>
      <c r="D129" s="17">
        <v>138.57354685382953</v>
      </c>
      <c r="E129" s="16">
        <f t="shared" si="3"/>
        <v>18.381211218278104</v>
      </c>
      <c r="F129" s="16">
        <v>36.762422436556207</v>
      </c>
      <c r="G129" s="16"/>
      <c r="H129" s="16"/>
      <c r="I129" s="18"/>
    </row>
    <row r="130" spans="1:9" x14ac:dyDescent="0.3">
      <c r="A130" s="19"/>
      <c r="B130" s="16"/>
      <c r="C130" s="16"/>
      <c r="D130" s="17">
        <v>139.27647169613351</v>
      </c>
      <c r="E130" s="16">
        <f t="shared" si="3"/>
        <v>19.969916078235244</v>
      </c>
      <c r="F130" s="16">
        <v>39.939832156470487</v>
      </c>
      <c r="G130" s="16"/>
      <c r="H130" s="16"/>
      <c r="I130" s="18"/>
    </row>
    <row r="131" spans="1:9" x14ac:dyDescent="0.3">
      <c r="A131" s="19"/>
      <c r="B131" s="16"/>
      <c r="C131" s="16"/>
      <c r="D131" s="17">
        <v>141.98579599414003</v>
      </c>
      <c r="E131" s="16">
        <f t="shared" si="3"/>
        <v>20.964743950819589</v>
      </c>
      <c r="F131" s="16">
        <v>41.929487901639177</v>
      </c>
      <c r="G131" s="16"/>
      <c r="H131" s="16"/>
      <c r="I131" s="18"/>
    </row>
    <row r="132" spans="1:9" x14ac:dyDescent="0.3">
      <c r="A132" s="19"/>
      <c r="B132" s="16"/>
      <c r="C132" s="16"/>
      <c r="D132" s="17">
        <v>144.33125003923612</v>
      </c>
      <c r="E132" s="16">
        <f t="shared" si="3"/>
        <v>20.732366879680264</v>
      </c>
      <c r="F132" s="16">
        <v>41.464733759360527</v>
      </c>
      <c r="G132" s="16"/>
      <c r="H132" s="16"/>
      <c r="I132" s="18"/>
    </row>
    <row r="133" spans="1:9" x14ac:dyDescent="0.3">
      <c r="A133" s="19"/>
      <c r="B133" s="16"/>
      <c r="C133" s="16"/>
      <c r="D133" s="17">
        <v>146.84163589961125</v>
      </c>
      <c r="E133" s="16">
        <f t="shared" ref="E133:E140" si="4">F133/2</f>
        <v>20.467269430838087</v>
      </c>
      <c r="F133" s="16">
        <v>40.934538861676174</v>
      </c>
      <c r="G133" s="16"/>
      <c r="H133" s="16"/>
      <c r="I133" s="18"/>
    </row>
    <row r="134" spans="1:9" x14ac:dyDescent="0.3">
      <c r="A134" s="19"/>
      <c r="B134" s="16"/>
      <c r="C134" s="16"/>
      <c r="D134" s="17">
        <v>150.0612175548188</v>
      </c>
      <c r="E134" s="16">
        <f t="shared" si="4"/>
        <v>25.311764076229956</v>
      </c>
      <c r="F134" s="16">
        <v>50.623528152459912</v>
      </c>
      <c r="G134" s="16"/>
      <c r="H134" s="16"/>
      <c r="I134" s="18"/>
    </row>
    <row r="135" spans="1:9" x14ac:dyDescent="0.3">
      <c r="A135" s="19"/>
      <c r="B135" s="16"/>
      <c r="C135" s="16"/>
      <c r="D135" s="17">
        <v>151.27125242080766</v>
      </c>
      <c r="E135" s="16">
        <f t="shared" si="4"/>
        <v>19.348765399795923</v>
      </c>
      <c r="F135" s="16">
        <v>38.697530799591846</v>
      </c>
      <c r="G135" s="16"/>
      <c r="H135" s="16"/>
      <c r="I135" s="18"/>
    </row>
    <row r="136" spans="1:9" x14ac:dyDescent="0.3">
      <c r="A136" s="19"/>
      <c r="B136" s="16"/>
      <c r="C136" s="16"/>
      <c r="D136" s="17">
        <v>157.00324926336762</v>
      </c>
      <c r="E136" s="16">
        <f t="shared" si="4"/>
        <v>22.750631843078239</v>
      </c>
      <c r="F136" s="16">
        <v>45.501263686156477</v>
      </c>
      <c r="G136" s="16"/>
      <c r="H136" s="16"/>
      <c r="I136" s="18"/>
    </row>
    <row r="137" spans="1:9" x14ac:dyDescent="0.3">
      <c r="A137" s="19"/>
      <c r="B137" s="16"/>
      <c r="C137" s="16"/>
      <c r="D137" s="17">
        <v>158.02485675414169</v>
      </c>
      <c r="E137" s="16">
        <f t="shared" si="4"/>
        <v>31.77320547937174</v>
      </c>
      <c r="F137" s="16">
        <v>63.546410958743479</v>
      </c>
      <c r="G137" s="16"/>
      <c r="H137" s="16"/>
      <c r="I137" s="18"/>
    </row>
    <row r="138" spans="1:9" x14ac:dyDescent="0.3">
      <c r="A138" s="19"/>
      <c r="B138" s="16"/>
      <c r="C138" s="16"/>
      <c r="D138" s="17">
        <v>191.25728920616768</v>
      </c>
      <c r="E138" s="16">
        <f t="shared" si="4"/>
        <v>25.195129445499418</v>
      </c>
      <c r="F138" s="16">
        <v>50.390258890998837</v>
      </c>
      <c r="G138" s="16"/>
      <c r="H138" s="16"/>
      <c r="I138" s="18"/>
    </row>
    <row r="139" spans="1:9" x14ac:dyDescent="0.3">
      <c r="A139" s="19"/>
      <c r="B139" s="16"/>
      <c r="C139" s="16"/>
      <c r="D139" s="17">
        <v>198.0016864203171</v>
      </c>
      <c r="E139" s="16">
        <f t="shared" si="4"/>
        <v>51.228281094058843</v>
      </c>
      <c r="F139" s="16">
        <v>102.45656218811769</v>
      </c>
      <c r="G139" s="16"/>
      <c r="H139" s="16"/>
      <c r="I139" s="18"/>
    </row>
    <row r="140" spans="1:9" ht="15" thickBot="1" x14ac:dyDescent="0.35">
      <c r="A140" s="20"/>
      <c r="B140" s="21"/>
      <c r="C140" s="21"/>
      <c r="D140" s="22">
        <v>236.39516786932006</v>
      </c>
      <c r="E140" s="21">
        <f t="shared" si="4"/>
        <v>81.015691538662381</v>
      </c>
      <c r="F140" s="21">
        <v>162.03138307732476</v>
      </c>
      <c r="G140" s="21"/>
      <c r="H140" s="21"/>
      <c r="I140" s="23"/>
    </row>
  </sheetData>
  <mergeCells count="3">
    <mergeCell ref="A1:C2"/>
    <mergeCell ref="D1:F2"/>
    <mergeCell ref="G1:I2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B116F1742AE641B3EC9EC05A501CB6" ma:contentTypeVersion="8" ma:contentTypeDescription="Create a new document." ma:contentTypeScope="" ma:versionID="233453a1824c3a0bad85fca8f7e8f653">
  <xsd:schema xmlns:xsd="http://www.w3.org/2001/XMLSchema" xmlns:xs="http://www.w3.org/2001/XMLSchema" xmlns:p="http://schemas.microsoft.com/office/2006/metadata/properties" xmlns:ns3="e9065494-ed73-4f34-bc36-34892ec7687d" xmlns:ns4="d2827975-ab03-47b2-aff4-f98ac5fca655" targetNamespace="http://schemas.microsoft.com/office/2006/metadata/properties" ma:root="true" ma:fieldsID="4ef4c53c3d9514029a867cd07b90e2ed" ns3:_="" ns4:_="">
    <xsd:import namespace="e9065494-ed73-4f34-bc36-34892ec7687d"/>
    <xsd:import namespace="d2827975-ab03-47b2-aff4-f98ac5fca65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065494-ed73-4f34-bc36-34892ec768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827975-ab03-47b2-aff4-f98ac5fca65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9065494-ed73-4f34-bc36-34892ec7687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7D8D629-A7E2-4E8F-A464-9B9C94E069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065494-ed73-4f34-bc36-34892ec7687d"/>
    <ds:schemaRef ds:uri="d2827975-ab03-47b2-aff4-f98ac5fca65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8941CAB-47DF-47C4-AFEE-6CBBFEE0AF03}">
  <ds:schemaRefs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e9065494-ed73-4f34-bc36-34892ec7687d"/>
    <ds:schemaRef ds:uri="d2827975-ab03-47b2-aff4-f98ac5fca655"/>
    <ds:schemaRef ds:uri="http://purl.org/dc/terms/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7FF5BC5E-A5C5-4C5F-A417-13083DE82A2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Alec Baudry</dc:creator>
  <cp:lastModifiedBy>ALEC JOHN BAUDRY</cp:lastModifiedBy>
  <dcterms:created xsi:type="dcterms:W3CDTF">2022-09-25T22:22:32Z</dcterms:created>
  <dcterms:modified xsi:type="dcterms:W3CDTF">2024-04-09T23:56:08Z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0x01010068B116F1742AE641B3EC9EC05A501CB6</vt:lpwstr>
  </property>
</Properties>
</file>